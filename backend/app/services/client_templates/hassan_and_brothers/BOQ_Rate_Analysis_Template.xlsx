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Summary" sheetId="1" state="visible" r:id="rId1"/>
    <sheet xmlns:r="http://schemas.openxmlformats.org/officeDocument/2006/relationships" name="BOQ Rate Comparison" sheetId="2" state="visible" r:id="rId2"/>
    <sheet xmlns:r="http://schemas.openxmlformats.org/officeDocument/2006/relationships" name="Work Type Summary" sheetId="3" state="visible" r:id="rId3"/>
    <sheet xmlns:r="http://schemas.openxmlformats.org/officeDocument/2006/relationships" name="Rate Detail &amp; Flags" sheetId="4" state="visible" r:id="rId4"/>
    <sheet xmlns:r="http://schemas.openxmlformats.org/officeDocument/2006/relationships" name="Financial Check" sheetId="5" state="visible" r:id="rId5"/>
  </sheets>
  <definedNames/>
  <calcPr calcId="124519" fullCalcOnLoad="1"/>
</workbook>
</file>

<file path=xl/styles.xml><?xml version="1.0" encoding="utf-8"?>
<styleSheet xmlns="http://schemas.openxmlformats.org/spreadsheetml/2006/main">
  <numFmts count="5">
    <numFmt numFmtId="164" formatCode="0.00&quot;%&quot;"/>
    <numFmt numFmtId="165" formatCode="#,##0.000"/>
    <numFmt numFmtId="166" formatCode="+#,##0.00;-#,##0.00;0.00"/>
    <numFmt numFmtId="167" formatCode="+0.00%;-0.00%;0.00%"/>
    <numFmt numFmtId="168" formatCode="0.0%"/>
  </numFmts>
  <fonts count="31">
    <font>
      <name val="Calibri"/>
      <family val="2"/>
      <color theme="1"/>
      <sz val="11"/>
      <scheme val="minor"/>
    </font>
    <font>
      <name val="Arial"/>
      <b val="1"/>
      <color rgb="001B3A6B"/>
      <sz val="18"/>
    </font>
    <font>
      <name val="Arial"/>
      <i val="1"/>
      <color rgb="00444444"/>
      <sz val="11"/>
    </font>
    <font>
      <name val="Arial"/>
      <b val="1"/>
      <color rgb="001B3A6B"/>
      <sz val="10"/>
    </font>
    <font>
      <name val="Arial"/>
      <color rgb="00000000"/>
      <sz val="10"/>
    </font>
    <font>
      <name val="Arial"/>
      <b val="1"/>
      <color rgb="001B3A6B"/>
      <sz val="11"/>
    </font>
    <font>
      <name val="Arial"/>
      <b val="1"/>
      <color rgb="00375623"/>
      <sz val="11"/>
    </font>
    <font>
      <name val="Arial"/>
      <b val="1"/>
      <color rgb="001F4E79"/>
      <sz val="11"/>
    </font>
    <font>
      <name val="Arial"/>
      <b val="1"/>
      <color rgb="007F6000"/>
      <sz val="11"/>
    </font>
    <font>
      <name val="Arial"/>
      <b val="1"/>
      <color rgb="00FFFFFF"/>
      <sz val="11"/>
    </font>
    <font>
      <name val="Arial"/>
      <b val="1"/>
      <color rgb="001B3A6B"/>
      <sz val="9"/>
    </font>
    <font>
      <name val="Arial"/>
      <color rgb="00000000"/>
      <sz val="9"/>
    </font>
    <font>
      <name val="Arial"/>
      <b val="1"/>
      <color rgb="00FFFFFF"/>
      <sz val="13"/>
    </font>
    <font>
      <name val="Arial"/>
      <i val="1"/>
      <color rgb="00444444"/>
      <sz val="8"/>
    </font>
    <font>
      <name val="Arial"/>
      <b val="1"/>
      <color rgb="00FFFFFF"/>
      <sz val="9"/>
    </font>
    <font>
      <name val="Arial"/>
      <b val="1"/>
      <color rgb="00000000"/>
      <sz val="9"/>
    </font>
    <font>
      <name val="Arial"/>
      <color rgb="00000000"/>
      <sz val="8"/>
    </font>
    <font>
      <name val="Arial"/>
      <b val="1"/>
      <color rgb="001F4E79"/>
      <sz val="8"/>
    </font>
    <font>
      <name val="Arial"/>
      <b val="1"/>
      <color rgb="001F4E79"/>
      <sz val="9"/>
    </font>
    <font>
      <name val="Arial"/>
      <b val="1"/>
      <color rgb="00375623"/>
      <sz val="8"/>
    </font>
    <font>
      <name val="Arial"/>
      <b val="1"/>
      <color rgb="00375623"/>
      <sz val="9"/>
    </font>
    <font>
      <name val="Arial"/>
      <b val="1"/>
      <color rgb="00C00000"/>
      <sz val="9"/>
    </font>
    <font>
      <name val="Arial"/>
      <b val="1"/>
      <color rgb="007F6000"/>
      <sz val="9"/>
    </font>
    <font>
      <name val="Arial"/>
      <b val="1"/>
      <color rgb="007F4B00"/>
      <sz val="8"/>
    </font>
    <font>
      <name val="Arial"/>
      <b val="1"/>
      <color rgb="00FFFFFF"/>
      <sz val="10"/>
    </font>
    <font>
      <name val="Arial"/>
      <b val="1"/>
      <color rgb="00FFFFFF"/>
      <sz val="12"/>
    </font>
    <font>
      <name val="Arial"/>
      <b val="1"/>
      <color rgb="00000000"/>
      <sz val="8"/>
    </font>
    <font>
      <name val="Arial"/>
      <color rgb="001F4E79"/>
      <sz val="8"/>
    </font>
    <font>
      <name val="Arial"/>
      <color rgb="00C00000"/>
      <sz val="8"/>
    </font>
    <font>
      <name val="Arial"/>
      <color rgb="007F6000"/>
      <sz val="9"/>
    </font>
    <font>
      <name val="Arial"/>
      <color rgb="00375623"/>
      <sz val="9"/>
    </font>
  </fonts>
  <fills count="25">
    <fill>
      <patternFill/>
    </fill>
    <fill>
      <patternFill patternType="gray125"/>
    </fill>
    <fill>
      <patternFill patternType="solid">
        <fgColor rgb="00DDEEFF"/>
      </patternFill>
    </fill>
    <fill>
      <patternFill patternType="solid">
        <fgColor rgb="00E8EFF8"/>
      </patternFill>
    </fill>
    <fill>
      <patternFill patternType="solid">
        <fgColor rgb="00F8FAFE"/>
      </patternFill>
    </fill>
    <fill>
      <patternFill patternType="solid">
        <fgColor rgb="00E2EFDA"/>
      </patternFill>
    </fill>
    <fill>
      <patternFill patternType="solid">
        <fgColor rgb="00DDEBF7"/>
      </patternFill>
    </fill>
    <fill>
      <patternFill patternType="solid">
        <fgColor rgb="00FFF2CC"/>
      </patternFill>
    </fill>
    <fill>
      <patternFill patternType="solid">
        <fgColor rgb="001B3A6B"/>
      </patternFill>
    </fill>
    <fill>
      <patternFill patternType="solid">
        <fgColor rgb="00EEF4FB"/>
      </patternFill>
    </fill>
    <fill>
      <patternFill patternType="solid">
        <fgColor rgb="00FAFCFF"/>
      </patternFill>
    </fill>
    <fill>
      <patternFill patternType="solid">
        <fgColor rgb="00F5F8FE"/>
      </patternFill>
    </fill>
    <fill>
      <patternFill patternType="solid">
        <fgColor rgb="00C9D9F0"/>
      </patternFill>
    </fill>
    <fill>
      <patternFill patternType="solid">
        <fgColor rgb="00F9FBE7"/>
      </patternFill>
    </fill>
    <fill>
      <patternFill patternType="solid">
        <fgColor rgb="00FFF9E6"/>
      </patternFill>
    </fill>
    <fill>
      <patternFill patternType="solid">
        <fgColor rgb="00FBE9E7"/>
      </patternFill>
    </fill>
    <fill>
      <patternFill patternType="solid">
        <fgColor rgb="00E8F5E9"/>
      </patternFill>
    </fill>
    <fill>
      <patternFill patternType="solid">
        <fgColor rgb="00E3F2FD"/>
      </patternFill>
    </fill>
    <fill>
      <patternFill patternType="solid">
        <fgColor rgb="00F3E5F5"/>
      </patternFill>
    </fill>
    <fill>
      <patternFill patternType="solid">
        <fgColor rgb="00FCE4EC"/>
      </patternFill>
    </fill>
    <fill>
      <patternFill patternType="solid">
        <fgColor rgb="00E8EAF6"/>
      </patternFill>
    </fill>
    <fill>
      <patternFill patternType="solid">
        <fgColor rgb="00FAFAFA"/>
      </patternFill>
    </fill>
    <fill>
      <patternFill patternType="solid">
        <fgColor rgb="00FFF3E0"/>
      </patternFill>
    </fill>
    <fill>
      <patternFill patternType="solid">
        <fgColor rgb="007F1B2B"/>
      </patternFill>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right" vertical="center"/>
    </xf>
    <xf numFmtId="0" fontId="4" fillId="4" borderId="1" applyAlignment="1" pivotButton="0" quotePrefix="0" xfId="0">
      <alignment horizontal="left" vertical="center"/>
    </xf>
    <xf numFmtId="4" fontId="5" fillId="2" borderId="1" applyAlignment="1" pivotButton="0" quotePrefix="0" xfId="0">
      <alignment horizontal="center" vertical="center"/>
    </xf>
    <xf numFmtId="4" fontId="6" fillId="5" borderId="1" applyAlignment="1" pivotButton="0" quotePrefix="0" xfId="0">
      <alignment horizontal="center" vertical="center"/>
    </xf>
    <xf numFmtId="4" fontId="7" fillId="6" borderId="1" applyAlignment="1" pivotButton="0" quotePrefix="0" xfId="0">
      <alignment horizontal="center" vertical="center"/>
    </xf>
    <xf numFmtId="164" fontId="8" fillId="7" borderId="1" applyAlignment="1" pivotButton="0" quotePrefix="0" xfId="0">
      <alignment horizontal="center" vertical="center"/>
    </xf>
    <xf numFmtId="0" fontId="9" fillId="8" borderId="1" applyAlignment="1" pivotButton="0" quotePrefix="0" xfId="0">
      <alignment horizontal="center" vertical="center"/>
    </xf>
    <xf numFmtId="0" fontId="10" fillId="9" borderId="1" applyAlignment="1" pivotButton="0" quotePrefix="0" xfId="0">
      <alignment horizontal="right" vertical="center"/>
    </xf>
    <xf numFmtId="0" fontId="11" fillId="10" borderId="1" applyAlignment="1" pivotButton="0" quotePrefix="0" xfId="0">
      <alignment horizontal="left" vertical="center" wrapText="1"/>
    </xf>
    <xf numFmtId="0" fontId="12" fillId="8" borderId="0" applyAlignment="1" pivotButton="0" quotePrefix="0" xfId="0">
      <alignment horizontal="center" vertical="center"/>
    </xf>
    <xf numFmtId="0" fontId="13" fillId="11" borderId="0" applyAlignment="1" pivotButton="0" quotePrefix="0" xfId="0">
      <alignment horizontal="left" vertical="center"/>
    </xf>
    <xf numFmtId="0" fontId="14" fillId="8" borderId="1" applyAlignment="1" pivotButton="0" quotePrefix="0" xfId="0">
      <alignment horizontal="center" vertical="center" wrapText="1"/>
    </xf>
    <xf numFmtId="0" fontId="10" fillId="12" borderId="1" applyAlignment="1" pivotButton="0" quotePrefix="0" xfId="0">
      <alignment horizontal="left" vertical="center"/>
    </xf>
    <xf numFmtId="0" fontId="15" fillId="13" borderId="1" applyAlignment="1" pivotButton="0" quotePrefix="0" xfId="0">
      <alignment horizontal="center" vertical="center"/>
    </xf>
    <xf numFmtId="0" fontId="16" fillId="13" borderId="1" applyAlignment="1" pivotButton="0" quotePrefix="0" xfId="0">
      <alignment horizontal="center" vertical="center"/>
    </xf>
    <xf numFmtId="0" fontId="17" fillId="6" borderId="1" applyAlignment="1" pivotButton="0" quotePrefix="0" xfId="0">
      <alignment horizontal="center" vertical="center"/>
    </xf>
    <xf numFmtId="0" fontId="16" fillId="13" borderId="1" applyAlignment="1" pivotButton="0" quotePrefix="0" xfId="0">
      <alignment horizontal="left" vertical="center" wrapText="1"/>
    </xf>
    <xf numFmtId="0" fontId="11" fillId="13" borderId="1" applyAlignment="1" pivotButton="0" quotePrefix="0" xfId="0">
      <alignment horizontal="center" vertical="center"/>
    </xf>
    <xf numFmtId="165" fontId="11" fillId="13" borderId="1" applyAlignment="1" pivotButton="0" quotePrefix="0" xfId="0">
      <alignment horizontal="right" vertical="center"/>
    </xf>
    <xf numFmtId="4" fontId="15" fillId="13" borderId="1" applyAlignment="1" pivotButton="0" quotePrefix="0" xfId="0">
      <alignment horizontal="right" vertical="center"/>
    </xf>
    <xf numFmtId="4" fontId="11" fillId="13" borderId="1" applyAlignment="1" pivotButton="0" quotePrefix="0" xfId="0">
      <alignment horizontal="right" vertical="center"/>
    </xf>
    <xf numFmtId="166" fontId="18" fillId="13" borderId="1" applyAlignment="1" pivotButton="0" quotePrefix="0" xfId="0">
      <alignment horizontal="right" vertical="center"/>
    </xf>
    <xf numFmtId="167" fontId="18" fillId="13" borderId="1" applyAlignment="1" pivotButton="0" quotePrefix="0" xfId="0">
      <alignment horizontal="right" vertical="center"/>
    </xf>
    <xf numFmtId="0" fontId="18" fillId="6" borderId="1" applyAlignment="1" pivotButton="0" quotePrefix="0" xfId="0">
      <alignment horizontal="center" vertical="center"/>
    </xf>
    <xf numFmtId="0" fontId="19" fillId="5" borderId="1" applyAlignment="1" pivotButton="0" quotePrefix="0" xfId="0">
      <alignment horizontal="center" vertical="center"/>
    </xf>
    <xf numFmtId="166" fontId="20" fillId="13" borderId="1" applyAlignment="1" pivotButton="0" quotePrefix="0" xfId="0">
      <alignment horizontal="right" vertical="center"/>
    </xf>
    <xf numFmtId="167" fontId="20" fillId="13" borderId="1" applyAlignment="1" pivotButton="0" quotePrefix="0" xfId="0">
      <alignment horizontal="right" vertical="center"/>
    </xf>
    <xf numFmtId="0" fontId="20" fillId="5" borderId="1" applyAlignment="1" pivotButton="0" quotePrefix="0" xfId="0">
      <alignment horizontal="center" vertical="center"/>
    </xf>
    <xf numFmtId="0" fontId="15" fillId="14" borderId="1" applyAlignment="1" pivotButton="0" quotePrefix="0" xfId="0">
      <alignment horizontal="center" vertical="center"/>
    </xf>
    <xf numFmtId="0" fontId="16" fillId="14" borderId="1" applyAlignment="1" pivotButton="0" quotePrefix="0" xfId="0">
      <alignment horizontal="center" vertical="center"/>
    </xf>
    <xf numFmtId="0" fontId="16" fillId="14" borderId="1" applyAlignment="1" pivotButton="0" quotePrefix="0" xfId="0">
      <alignment horizontal="left" vertical="center" wrapText="1"/>
    </xf>
    <xf numFmtId="0" fontId="11" fillId="14" borderId="1" applyAlignment="1" pivotButton="0" quotePrefix="0" xfId="0">
      <alignment horizontal="center" vertical="center"/>
    </xf>
    <xf numFmtId="165" fontId="11" fillId="14" borderId="1" applyAlignment="1" pivotButton="0" quotePrefix="0" xfId="0">
      <alignment horizontal="right" vertical="center"/>
    </xf>
    <xf numFmtId="4" fontId="15" fillId="14" borderId="1" applyAlignment="1" pivotButton="0" quotePrefix="0" xfId="0">
      <alignment horizontal="right" vertical="center"/>
    </xf>
    <xf numFmtId="4" fontId="11" fillId="14" borderId="1" applyAlignment="1" pivotButton="0" quotePrefix="0" xfId="0">
      <alignment horizontal="right" vertical="center"/>
    </xf>
    <xf numFmtId="166" fontId="18" fillId="14" borderId="1" applyAlignment="1" pivotButton="0" quotePrefix="0" xfId="0">
      <alignment horizontal="right" vertical="center"/>
    </xf>
    <xf numFmtId="167" fontId="18" fillId="14" borderId="1" applyAlignment="1" pivotButton="0" quotePrefix="0" xfId="0">
      <alignment horizontal="right" vertical="center"/>
    </xf>
    <xf numFmtId="0" fontId="15" fillId="15" borderId="1" applyAlignment="1" pivotButton="0" quotePrefix="0" xfId="0">
      <alignment horizontal="center" vertical="center"/>
    </xf>
    <xf numFmtId="0" fontId="16" fillId="15" borderId="1" applyAlignment="1" pivotButton="0" quotePrefix="0" xfId="0">
      <alignment horizontal="center" vertical="center"/>
    </xf>
    <xf numFmtId="0" fontId="16" fillId="15" borderId="1" applyAlignment="1" pivotButton="0" quotePrefix="0" xfId="0">
      <alignment horizontal="left" vertical="center" wrapText="1"/>
    </xf>
    <xf numFmtId="0" fontId="11" fillId="15" borderId="1" applyAlignment="1" pivotButton="0" quotePrefix="0" xfId="0">
      <alignment horizontal="center" vertical="center"/>
    </xf>
    <xf numFmtId="165" fontId="11" fillId="15" borderId="1" applyAlignment="1" pivotButton="0" quotePrefix="0" xfId="0">
      <alignment horizontal="right" vertical="center"/>
    </xf>
    <xf numFmtId="4" fontId="15" fillId="15" borderId="1" applyAlignment="1" pivotButton="0" quotePrefix="0" xfId="0">
      <alignment horizontal="right" vertical="center"/>
    </xf>
    <xf numFmtId="4" fontId="11" fillId="15" borderId="1" applyAlignment="1" pivotButton="0" quotePrefix="0" xfId="0">
      <alignment horizontal="right" vertical="center"/>
    </xf>
    <xf numFmtId="166" fontId="18" fillId="15" borderId="1" applyAlignment="1" pivotButton="0" quotePrefix="0" xfId="0">
      <alignment horizontal="right" vertical="center"/>
    </xf>
    <xf numFmtId="167" fontId="18" fillId="15" borderId="1" applyAlignment="1" pivotButton="0" quotePrefix="0" xfId="0">
      <alignment horizontal="right" vertical="center"/>
    </xf>
    <xf numFmtId="0" fontId="15" fillId="16" borderId="1" applyAlignment="1" pivotButton="0" quotePrefix="0" xfId="0">
      <alignment horizontal="center" vertical="center"/>
    </xf>
    <xf numFmtId="0" fontId="16" fillId="16" borderId="1" applyAlignment="1" pivotButton="0" quotePrefix="0" xfId="0">
      <alignment horizontal="center" vertical="center"/>
    </xf>
    <xf numFmtId="0" fontId="16" fillId="16" borderId="1" applyAlignment="1" pivotButton="0" quotePrefix="0" xfId="0">
      <alignment horizontal="left" vertical="center" wrapText="1"/>
    </xf>
    <xf numFmtId="0" fontId="11" fillId="16" borderId="1" applyAlignment="1" pivotButton="0" quotePrefix="0" xfId="0">
      <alignment horizontal="center" vertical="center"/>
    </xf>
    <xf numFmtId="165" fontId="11" fillId="16" borderId="1" applyAlignment="1" pivotButton="0" quotePrefix="0" xfId="0">
      <alignment horizontal="right" vertical="center"/>
    </xf>
    <xf numFmtId="4" fontId="15" fillId="16" borderId="1" applyAlignment="1" pivotButton="0" quotePrefix="0" xfId="0">
      <alignment horizontal="right" vertical="center"/>
    </xf>
    <xf numFmtId="4" fontId="11" fillId="16" borderId="1" applyAlignment="1" pivotButton="0" quotePrefix="0" xfId="0">
      <alignment horizontal="right" vertical="center"/>
    </xf>
    <xf numFmtId="166" fontId="18" fillId="16" borderId="1" applyAlignment="1" pivotButton="0" quotePrefix="0" xfId="0">
      <alignment horizontal="right" vertical="center"/>
    </xf>
    <xf numFmtId="167" fontId="18" fillId="16" borderId="1" applyAlignment="1" pivotButton="0" quotePrefix="0" xfId="0">
      <alignment horizontal="right" vertical="center"/>
    </xf>
    <xf numFmtId="0" fontId="15" fillId="17" borderId="1" applyAlignment="1" pivotButton="0" quotePrefix="0" xfId="0">
      <alignment horizontal="center" vertical="center"/>
    </xf>
    <xf numFmtId="0" fontId="16" fillId="17" borderId="1" applyAlignment="1" pivotButton="0" quotePrefix="0" xfId="0">
      <alignment horizontal="center" vertical="center"/>
    </xf>
    <xf numFmtId="0" fontId="16" fillId="17" borderId="1" applyAlignment="1" pivotButton="0" quotePrefix="0" xfId="0">
      <alignment horizontal="left" vertical="center" wrapText="1"/>
    </xf>
    <xf numFmtId="0" fontId="11" fillId="17" borderId="1" applyAlignment="1" pivotButton="0" quotePrefix="0" xfId="0">
      <alignment horizontal="center" vertical="center"/>
    </xf>
    <xf numFmtId="165" fontId="11" fillId="17" borderId="1" applyAlignment="1" pivotButton="0" quotePrefix="0" xfId="0">
      <alignment horizontal="right" vertical="center"/>
    </xf>
    <xf numFmtId="4" fontId="15" fillId="17" borderId="1" applyAlignment="1" pivotButton="0" quotePrefix="0" xfId="0">
      <alignment horizontal="right" vertical="center"/>
    </xf>
    <xf numFmtId="4" fontId="11" fillId="17" borderId="1" applyAlignment="1" pivotButton="0" quotePrefix="0" xfId="0">
      <alignment horizontal="right" vertical="center"/>
    </xf>
    <xf numFmtId="166" fontId="21" fillId="17" borderId="1" applyAlignment="1" pivotButton="0" quotePrefix="0" xfId="0">
      <alignment horizontal="right" vertical="center"/>
    </xf>
    <xf numFmtId="167" fontId="22" fillId="17" borderId="1" applyAlignment="1" pivotButton="0" quotePrefix="0" xfId="0">
      <alignment horizontal="right" vertical="center"/>
    </xf>
    <xf numFmtId="0" fontId="22" fillId="7" borderId="1" applyAlignment="1" pivotButton="0" quotePrefix="0" xfId="0">
      <alignment horizontal="center" vertical="center"/>
    </xf>
    <xf numFmtId="167" fontId="20" fillId="16" borderId="1" applyAlignment="1" pivotButton="0" quotePrefix="0" xfId="0">
      <alignment horizontal="right" vertical="center"/>
    </xf>
    <xf numFmtId="166" fontId="20" fillId="16" borderId="1" applyAlignment="1" pivotButton="0" quotePrefix="0" xfId="0">
      <alignment horizontal="right" vertical="center"/>
    </xf>
    <xf numFmtId="166" fontId="18" fillId="17" borderId="1" applyAlignment="1" pivotButton="0" quotePrefix="0" xfId="0">
      <alignment horizontal="right" vertical="center"/>
    </xf>
    <xf numFmtId="167" fontId="18" fillId="17" borderId="1" applyAlignment="1" pivotButton="0" quotePrefix="0" xfId="0">
      <alignment horizontal="right" vertical="center"/>
    </xf>
    <xf numFmtId="166" fontId="20" fillId="14" borderId="1" applyAlignment="1" pivotButton="0" quotePrefix="0" xfId="0">
      <alignment horizontal="right" vertical="center"/>
    </xf>
    <xf numFmtId="167" fontId="20" fillId="14" borderId="1" applyAlignment="1" pivotButton="0" quotePrefix="0" xfId="0">
      <alignment horizontal="right" vertical="center"/>
    </xf>
    <xf numFmtId="0" fontId="15" fillId="18" borderId="1" applyAlignment="1" pivotButton="0" quotePrefix="0" xfId="0">
      <alignment horizontal="center" vertical="center"/>
    </xf>
    <xf numFmtId="0" fontId="16" fillId="18" borderId="1" applyAlignment="1" pivotButton="0" quotePrefix="0" xfId="0">
      <alignment horizontal="center" vertical="center"/>
    </xf>
    <xf numFmtId="0" fontId="16" fillId="18" borderId="1" applyAlignment="1" pivotButton="0" quotePrefix="0" xfId="0">
      <alignment horizontal="left" vertical="center" wrapText="1"/>
    </xf>
    <xf numFmtId="0" fontId="11" fillId="18" borderId="1" applyAlignment="1" pivotButton="0" quotePrefix="0" xfId="0">
      <alignment horizontal="center" vertical="center"/>
    </xf>
    <xf numFmtId="165" fontId="11" fillId="18" borderId="1" applyAlignment="1" pivotButton="0" quotePrefix="0" xfId="0">
      <alignment horizontal="right" vertical="center"/>
    </xf>
    <xf numFmtId="4" fontId="15" fillId="18" borderId="1" applyAlignment="1" pivotButton="0" quotePrefix="0" xfId="0">
      <alignment horizontal="right" vertical="center"/>
    </xf>
    <xf numFmtId="4" fontId="11" fillId="18" borderId="1" applyAlignment="1" pivotButton="0" quotePrefix="0" xfId="0">
      <alignment horizontal="right" vertical="center"/>
    </xf>
    <xf numFmtId="166" fontId="20" fillId="18" borderId="1" applyAlignment="1" pivotButton="0" quotePrefix="0" xfId="0">
      <alignment horizontal="right" vertical="center"/>
    </xf>
    <xf numFmtId="167" fontId="20" fillId="18" borderId="1" applyAlignment="1" pivotButton="0" quotePrefix="0" xfId="0">
      <alignment horizontal="right" vertical="center"/>
    </xf>
    <xf numFmtId="0" fontId="15" fillId="19" borderId="1" applyAlignment="1" pivotButton="0" quotePrefix="0" xfId="0">
      <alignment horizontal="center" vertical="center"/>
    </xf>
    <xf numFmtId="0" fontId="16" fillId="19" borderId="1" applyAlignment="1" pivotButton="0" quotePrefix="0" xfId="0">
      <alignment horizontal="center" vertical="center"/>
    </xf>
    <xf numFmtId="0" fontId="23" fillId="7" borderId="1" applyAlignment="1" pivotButton="0" quotePrefix="0" xfId="0">
      <alignment horizontal="center" vertical="center"/>
    </xf>
    <xf numFmtId="0" fontId="16" fillId="19" borderId="1" applyAlignment="1" pivotButton="0" quotePrefix="0" xfId="0">
      <alignment horizontal="left" vertical="center" wrapText="1"/>
    </xf>
    <xf numFmtId="0" fontId="11" fillId="19" borderId="1" applyAlignment="1" pivotButton="0" quotePrefix="0" xfId="0">
      <alignment horizontal="center" vertical="center"/>
    </xf>
    <xf numFmtId="165" fontId="11" fillId="19" borderId="1" applyAlignment="1" pivotButton="0" quotePrefix="0" xfId="0">
      <alignment horizontal="right" vertical="center"/>
    </xf>
    <xf numFmtId="4" fontId="15" fillId="19" borderId="1" applyAlignment="1" pivotButton="0" quotePrefix="0" xfId="0">
      <alignment horizontal="right" vertical="center"/>
    </xf>
    <xf numFmtId="4" fontId="11" fillId="19" borderId="1" applyAlignment="1" pivotButton="0" quotePrefix="0" xfId="0">
      <alignment horizontal="right" vertical="center"/>
    </xf>
    <xf numFmtId="166" fontId="20" fillId="19" borderId="1" applyAlignment="1" pivotButton="0" quotePrefix="0" xfId="0">
      <alignment horizontal="right" vertical="center"/>
    </xf>
    <xf numFmtId="167" fontId="20" fillId="19" borderId="1" applyAlignment="1" pivotButton="0" quotePrefix="0" xfId="0">
      <alignment horizontal="right" vertical="center"/>
    </xf>
    <xf numFmtId="0" fontId="15" fillId="20" borderId="1" applyAlignment="1" pivotButton="0" quotePrefix="0" xfId="0">
      <alignment horizontal="center" vertical="center"/>
    </xf>
    <xf numFmtId="0" fontId="16" fillId="20" borderId="1" applyAlignment="1" pivotButton="0" quotePrefix="0" xfId="0">
      <alignment horizontal="center" vertical="center"/>
    </xf>
    <xf numFmtId="0" fontId="16" fillId="20" borderId="1" applyAlignment="1" pivotButton="0" quotePrefix="0" xfId="0">
      <alignment horizontal="left" vertical="center" wrapText="1"/>
    </xf>
    <xf numFmtId="0" fontId="11" fillId="20" borderId="1" applyAlignment="1" pivotButton="0" quotePrefix="0" xfId="0">
      <alignment horizontal="center" vertical="center"/>
    </xf>
    <xf numFmtId="165" fontId="11" fillId="20" borderId="1" applyAlignment="1" pivotButton="0" quotePrefix="0" xfId="0">
      <alignment horizontal="right" vertical="center"/>
    </xf>
    <xf numFmtId="4" fontId="15" fillId="20" borderId="1" applyAlignment="1" pivotButton="0" quotePrefix="0" xfId="0">
      <alignment horizontal="right" vertical="center"/>
    </xf>
    <xf numFmtId="4" fontId="11" fillId="20" borderId="1" applyAlignment="1" pivotButton="0" quotePrefix="0" xfId="0">
      <alignment horizontal="right" vertical="center"/>
    </xf>
    <xf numFmtId="166" fontId="20" fillId="20" borderId="1" applyAlignment="1" pivotButton="0" quotePrefix="0" xfId="0">
      <alignment horizontal="right" vertical="center"/>
    </xf>
    <xf numFmtId="167" fontId="20" fillId="20" borderId="1" applyAlignment="1" pivotButton="0" quotePrefix="0" xfId="0">
      <alignment horizontal="right" vertical="center"/>
    </xf>
    <xf numFmtId="0" fontId="15" fillId="21" borderId="1" applyAlignment="1" pivotButton="0" quotePrefix="0" xfId="0">
      <alignment horizontal="center" vertical="center"/>
    </xf>
    <xf numFmtId="0" fontId="16" fillId="21" borderId="1" applyAlignment="1" pivotButton="0" quotePrefix="0" xfId="0">
      <alignment horizontal="center" vertical="center"/>
    </xf>
    <xf numFmtId="0" fontId="16" fillId="21" borderId="1" applyAlignment="1" pivotButton="0" quotePrefix="0" xfId="0">
      <alignment horizontal="left" vertical="center" wrapText="1"/>
    </xf>
    <xf numFmtId="0" fontId="11" fillId="21" borderId="1" applyAlignment="1" pivotButton="0" quotePrefix="0" xfId="0">
      <alignment horizontal="center" vertical="center"/>
    </xf>
    <xf numFmtId="165" fontId="11" fillId="21" borderId="1" applyAlignment="1" pivotButton="0" quotePrefix="0" xfId="0">
      <alignment horizontal="right" vertical="center"/>
    </xf>
    <xf numFmtId="4" fontId="15" fillId="21" borderId="1" applyAlignment="1" pivotButton="0" quotePrefix="0" xfId="0">
      <alignment horizontal="right" vertical="center"/>
    </xf>
    <xf numFmtId="4" fontId="11" fillId="21" borderId="1" applyAlignment="1" pivotButton="0" quotePrefix="0" xfId="0">
      <alignment horizontal="right" vertical="center"/>
    </xf>
    <xf numFmtId="166" fontId="20" fillId="21" borderId="1" applyAlignment="1" pivotButton="0" quotePrefix="0" xfId="0">
      <alignment horizontal="right" vertical="center"/>
    </xf>
    <xf numFmtId="167" fontId="20" fillId="21" borderId="1" applyAlignment="1" pivotButton="0" quotePrefix="0" xfId="0">
      <alignment horizontal="right" vertical="center"/>
    </xf>
    <xf numFmtId="0" fontId="15" fillId="22" borderId="1" applyAlignment="1" pivotButton="0" quotePrefix="0" xfId="0">
      <alignment horizontal="center" vertical="center"/>
    </xf>
    <xf numFmtId="0" fontId="16" fillId="22" borderId="1" applyAlignment="1" pivotButton="0" quotePrefix="0" xfId="0">
      <alignment horizontal="center" vertical="center"/>
    </xf>
    <xf numFmtId="0" fontId="16" fillId="22" borderId="1" applyAlignment="1" pivotButton="0" quotePrefix="0" xfId="0">
      <alignment horizontal="left" vertical="center" wrapText="1"/>
    </xf>
    <xf numFmtId="0" fontId="11" fillId="22" borderId="1" applyAlignment="1" pivotButton="0" quotePrefix="0" xfId="0">
      <alignment horizontal="center" vertical="center"/>
    </xf>
    <xf numFmtId="165" fontId="11" fillId="22" borderId="1" applyAlignment="1" pivotButton="0" quotePrefix="0" xfId="0">
      <alignment horizontal="right" vertical="center"/>
    </xf>
    <xf numFmtId="4" fontId="15" fillId="22" borderId="1" applyAlignment="1" pivotButton="0" quotePrefix="0" xfId="0">
      <alignment horizontal="right" vertical="center"/>
    </xf>
    <xf numFmtId="4" fontId="11" fillId="22" borderId="1" applyAlignment="1" pivotButton="0" quotePrefix="0" xfId="0">
      <alignment horizontal="right" vertical="center"/>
    </xf>
    <xf numFmtId="166" fontId="20" fillId="22" borderId="1" applyAlignment="1" pivotButton="0" quotePrefix="0" xfId="0">
      <alignment horizontal="right" vertical="center"/>
    </xf>
    <xf numFmtId="167" fontId="20" fillId="22" borderId="1" applyAlignment="1" pivotButton="0" quotePrefix="0" xfId="0">
      <alignment horizontal="right" vertical="center"/>
    </xf>
    <xf numFmtId="0" fontId="24" fillId="8" borderId="1" applyAlignment="1" pivotButton="0" quotePrefix="0" xfId="0">
      <alignment horizontal="right" vertical="center"/>
    </xf>
    <xf numFmtId="4" fontId="24" fillId="8" borderId="1" applyAlignment="1" pivotButton="0" quotePrefix="0" xfId="0">
      <alignment horizontal="right" vertical="center"/>
    </xf>
    <xf numFmtId="10" fontId="24" fillId="8" borderId="1" applyAlignment="1" pivotButton="0" quotePrefix="0" xfId="0">
      <alignment horizontal="right" vertical="center"/>
    </xf>
    <xf numFmtId="0" fontId="15" fillId="17" borderId="1" applyAlignment="1" pivotButton="0" quotePrefix="0" xfId="0">
      <alignment horizontal="left" vertical="center"/>
    </xf>
    <xf numFmtId="3" fontId="11" fillId="17" borderId="1" applyAlignment="1" pivotButton="0" quotePrefix="0" xfId="0">
      <alignment horizontal="right" vertical="center"/>
    </xf>
    <xf numFmtId="10" fontId="11" fillId="17" borderId="1" applyAlignment="1" pivotButton="0" quotePrefix="0" xfId="0">
      <alignment horizontal="right" vertical="center"/>
    </xf>
    <xf numFmtId="168" fontId="11" fillId="17" borderId="1" applyAlignment="1" pivotButton="0" quotePrefix="0" xfId="0">
      <alignment horizontal="right" vertical="center"/>
    </xf>
    <xf numFmtId="0" fontId="15" fillId="16" borderId="1" applyAlignment="1" pivotButton="0" quotePrefix="0" xfId="0">
      <alignment horizontal="left" vertical="center"/>
    </xf>
    <xf numFmtId="3" fontId="11" fillId="16" borderId="1" applyAlignment="1" pivotButton="0" quotePrefix="0" xfId="0">
      <alignment horizontal="right" vertical="center"/>
    </xf>
    <xf numFmtId="10" fontId="11" fillId="16" borderId="1" applyAlignment="1" pivotButton="0" quotePrefix="0" xfId="0">
      <alignment horizontal="right" vertical="center"/>
    </xf>
    <xf numFmtId="168" fontId="11" fillId="16" borderId="1" applyAlignment="1" pivotButton="0" quotePrefix="0" xfId="0">
      <alignment horizontal="right" vertical="center"/>
    </xf>
    <xf numFmtId="0" fontId="15" fillId="13" borderId="1" applyAlignment="1" pivotButton="0" quotePrefix="0" xfId="0">
      <alignment horizontal="left" vertical="center"/>
    </xf>
    <xf numFmtId="3" fontId="11" fillId="13" borderId="1" applyAlignment="1" pivotButton="0" quotePrefix="0" xfId="0">
      <alignment horizontal="right" vertical="center"/>
    </xf>
    <xf numFmtId="10" fontId="11" fillId="13" borderId="1" applyAlignment="1" pivotButton="0" quotePrefix="0" xfId="0">
      <alignment horizontal="right" vertical="center"/>
    </xf>
    <xf numFmtId="168" fontId="11" fillId="13" borderId="1" applyAlignment="1" pivotButton="0" quotePrefix="0" xfId="0">
      <alignment horizontal="right" vertical="center"/>
    </xf>
    <xf numFmtId="0" fontId="15" fillId="14" borderId="1" applyAlignment="1" pivotButton="0" quotePrefix="0" xfId="0">
      <alignment horizontal="left" vertical="center"/>
    </xf>
    <xf numFmtId="3" fontId="11" fillId="14" borderId="1" applyAlignment="1" pivotButton="0" quotePrefix="0" xfId="0">
      <alignment horizontal="right" vertical="center"/>
    </xf>
    <xf numFmtId="10" fontId="11" fillId="14" borderId="1" applyAlignment="1" pivotButton="0" quotePrefix="0" xfId="0">
      <alignment horizontal="right" vertical="center"/>
    </xf>
    <xf numFmtId="168" fontId="11" fillId="14" borderId="1" applyAlignment="1" pivotButton="0" quotePrefix="0" xfId="0">
      <alignment horizontal="right" vertical="center"/>
    </xf>
    <xf numFmtId="0" fontId="15" fillId="15" borderId="1" applyAlignment="1" pivotButton="0" quotePrefix="0" xfId="0">
      <alignment horizontal="left" vertical="center"/>
    </xf>
    <xf numFmtId="3" fontId="11" fillId="15" borderId="1" applyAlignment="1" pivotButton="0" quotePrefix="0" xfId="0">
      <alignment horizontal="right" vertical="center"/>
    </xf>
    <xf numFmtId="10" fontId="11" fillId="15" borderId="1" applyAlignment="1" pivotButton="0" quotePrefix="0" xfId="0">
      <alignment horizontal="right" vertical="center"/>
    </xf>
    <xf numFmtId="168" fontId="11" fillId="15" borderId="1" applyAlignment="1" pivotButton="0" quotePrefix="0" xfId="0">
      <alignment horizontal="right" vertical="center"/>
    </xf>
    <xf numFmtId="0" fontId="15" fillId="20" borderId="1" applyAlignment="1" pivotButton="0" quotePrefix="0" xfId="0">
      <alignment horizontal="left" vertical="center"/>
    </xf>
    <xf numFmtId="3" fontId="11" fillId="20" borderId="1" applyAlignment="1" pivotButton="0" quotePrefix="0" xfId="0">
      <alignment horizontal="right" vertical="center"/>
    </xf>
    <xf numFmtId="10" fontId="11" fillId="20" borderId="1" applyAlignment="1" pivotButton="0" quotePrefix="0" xfId="0">
      <alignment horizontal="right" vertical="center"/>
    </xf>
    <xf numFmtId="168" fontId="11" fillId="20" borderId="1" applyAlignment="1" pivotButton="0" quotePrefix="0" xfId="0">
      <alignment horizontal="right" vertical="center"/>
    </xf>
    <xf numFmtId="0" fontId="15" fillId="18" borderId="1" applyAlignment="1" pivotButton="0" quotePrefix="0" xfId="0">
      <alignment horizontal="left" vertical="center"/>
    </xf>
    <xf numFmtId="3" fontId="11" fillId="18" borderId="1" applyAlignment="1" pivotButton="0" quotePrefix="0" xfId="0">
      <alignment horizontal="right" vertical="center"/>
    </xf>
    <xf numFmtId="10" fontId="11" fillId="18" borderId="1" applyAlignment="1" pivotButton="0" quotePrefix="0" xfId="0">
      <alignment horizontal="right" vertical="center"/>
    </xf>
    <xf numFmtId="168" fontId="11" fillId="18" borderId="1" applyAlignment="1" pivotButton="0" quotePrefix="0" xfId="0">
      <alignment horizontal="right" vertical="center"/>
    </xf>
    <xf numFmtId="0" fontId="15" fillId="19" borderId="1" applyAlignment="1" pivotButton="0" quotePrefix="0" xfId="0">
      <alignment horizontal="left" vertical="center"/>
    </xf>
    <xf numFmtId="3" fontId="11" fillId="19" borderId="1" applyAlignment="1" pivotButton="0" quotePrefix="0" xfId="0">
      <alignment horizontal="right" vertical="center"/>
    </xf>
    <xf numFmtId="10" fontId="11" fillId="19" borderId="1" applyAlignment="1" pivotButton="0" quotePrefix="0" xfId="0">
      <alignment horizontal="right" vertical="center"/>
    </xf>
    <xf numFmtId="168" fontId="11" fillId="19" borderId="1" applyAlignment="1" pivotButton="0" quotePrefix="0" xfId="0">
      <alignment horizontal="right" vertical="center"/>
    </xf>
    <xf numFmtId="0" fontId="15" fillId="22" borderId="1" applyAlignment="1" pivotButton="0" quotePrefix="0" xfId="0">
      <alignment horizontal="left" vertical="center"/>
    </xf>
    <xf numFmtId="3" fontId="11" fillId="22" borderId="1" applyAlignment="1" pivotButton="0" quotePrefix="0" xfId="0">
      <alignment horizontal="right" vertical="center"/>
    </xf>
    <xf numFmtId="10" fontId="11" fillId="22" borderId="1" applyAlignment="1" pivotButton="0" quotePrefix="0" xfId="0">
      <alignment horizontal="right" vertical="center"/>
    </xf>
    <xf numFmtId="168" fontId="11" fillId="22" borderId="1" applyAlignment="1" pivotButton="0" quotePrefix="0" xfId="0">
      <alignment horizontal="right" vertical="center"/>
    </xf>
    <xf numFmtId="0" fontId="15" fillId="21" borderId="1" applyAlignment="1" pivotButton="0" quotePrefix="0" xfId="0">
      <alignment horizontal="left" vertical="center"/>
    </xf>
    <xf numFmtId="3" fontId="11" fillId="21" borderId="1" applyAlignment="1" pivotButton="0" quotePrefix="0" xfId="0">
      <alignment horizontal="right" vertical="center"/>
    </xf>
    <xf numFmtId="10" fontId="11" fillId="21" borderId="1" applyAlignment="1" pivotButton="0" quotePrefix="0" xfId="0">
      <alignment horizontal="right" vertical="center"/>
    </xf>
    <xf numFmtId="168" fontId="11" fillId="21" borderId="1" applyAlignment="1" pivotButton="0" quotePrefix="0" xfId="0">
      <alignment horizontal="right" vertical="center"/>
    </xf>
    <xf numFmtId="0" fontId="24" fillId="8" borderId="1" applyAlignment="1" pivotButton="0" quotePrefix="0" xfId="0">
      <alignment horizontal="left" vertical="center"/>
    </xf>
    <xf numFmtId="3" fontId="24" fillId="8" borderId="1" applyAlignment="1" pivotButton="0" quotePrefix="0" xfId="0">
      <alignment horizontal="right" vertical="center"/>
    </xf>
    <xf numFmtId="168" fontId="24" fillId="8" borderId="1" applyAlignment="1" pivotButton="0" quotePrefix="0" xfId="0">
      <alignment horizontal="right" vertical="center"/>
    </xf>
    <xf numFmtId="0" fontId="25" fillId="23" borderId="0" applyAlignment="1" pivotButton="0" quotePrefix="0" xfId="0">
      <alignment horizontal="center" vertical="center"/>
    </xf>
    <xf numFmtId="0" fontId="14" fillId="23" borderId="1" applyAlignment="1" pivotButton="0" quotePrefix="0" xfId="0">
      <alignment horizontal="center" vertical="center" wrapText="1"/>
    </xf>
    <xf numFmtId="0" fontId="26" fillId="6" borderId="1" applyAlignment="1" pivotButton="0" quotePrefix="0" xfId="0">
      <alignment horizontal="center" vertical="center"/>
    </xf>
    <xf numFmtId="0" fontId="16" fillId="6" borderId="1" applyAlignment="1" pivotButton="0" quotePrefix="0" xfId="0">
      <alignment horizontal="center" vertical="center"/>
    </xf>
    <xf numFmtId="0" fontId="16" fillId="6" borderId="1" applyAlignment="1" pivotButton="0" quotePrefix="0" xfId="0">
      <alignment horizontal="left" vertical="center" wrapText="1"/>
    </xf>
    <xf numFmtId="165" fontId="16" fillId="6" borderId="1" applyAlignment="1" pivotButton="0" quotePrefix="0" xfId="0">
      <alignment horizontal="right" vertical="center"/>
    </xf>
    <xf numFmtId="4" fontId="26" fillId="6" borderId="1" applyAlignment="1" pivotButton="0" quotePrefix="0" xfId="0">
      <alignment horizontal="right" vertical="center"/>
    </xf>
    <xf numFmtId="166" fontId="27" fillId="6" borderId="1" applyAlignment="1" pivotButton="0" quotePrefix="0" xfId="0">
      <alignment horizontal="right" vertical="center"/>
    </xf>
    <xf numFmtId="0" fontId="26" fillId="5" borderId="1" applyAlignment="1" pivotButton="0" quotePrefix="0" xfId="0">
      <alignment horizontal="center" vertical="center"/>
    </xf>
    <xf numFmtId="0" fontId="16" fillId="5" borderId="1" applyAlignment="1" pivotButton="0" quotePrefix="0" xfId="0">
      <alignment horizontal="center" vertical="center"/>
    </xf>
    <xf numFmtId="0" fontId="16" fillId="5" borderId="1" applyAlignment="1" pivotButton="0" quotePrefix="0" xfId="0">
      <alignment horizontal="left" vertical="center" wrapText="1"/>
    </xf>
    <xf numFmtId="165" fontId="16" fillId="5" borderId="1" applyAlignment="1" pivotButton="0" quotePrefix="0" xfId="0">
      <alignment horizontal="right" vertical="center"/>
    </xf>
    <xf numFmtId="4" fontId="26" fillId="5" borderId="1" applyAlignment="1" pivotButton="0" quotePrefix="0" xfId="0">
      <alignment horizontal="right" vertical="center"/>
    </xf>
    <xf numFmtId="166" fontId="16" fillId="5" borderId="1" applyAlignment="1" pivotButton="0" quotePrefix="0" xfId="0">
      <alignment horizontal="right" vertical="center"/>
    </xf>
    <xf numFmtId="0" fontId="26" fillId="7" borderId="1" applyAlignment="1" pivotButton="0" quotePrefix="0" xfId="0">
      <alignment horizontal="center" vertical="center"/>
    </xf>
    <xf numFmtId="0" fontId="16" fillId="7" borderId="1" applyAlignment="1" pivotButton="0" quotePrefix="0" xfId="0">
      <alignment horizontal="center" vertical="center"/>
    </xf>
    <xf numFmtId="0" fontId="16" fillId="7" borderId="1" applyAlignment="1" pivotButton="0" quotePrefix="0" xfId="0">
      <alignment horizontal="left" vertical="center" wrapText="1"/>
    </xf>
    <xf numFmtId="165" fontId="16" fillId="7" borderId="1" applyAlignment="1" pivotButton="0" quotePrefix="0" xfId="0">
      <alignment horizontal="right" vertical="center"/>
    </xf>
    <xf numFmtId="4" fontId="26" fillId="7" borderId="1" applyAlignment="1" pivotButton="0" quotePrefix="0" xfId="0">
      <alignment horizontal="right" vertical="center"/>
    </xf>
    <xf numFmtId="166" fontId="28" fillId="7" borderId="1" applyAlignment="1" pivotButton="0" quotePrefix="0" xfId="0">
      <alignment horizontal="right" vertical="center"/>
    </xf>
    <xf numFmtId="166" fontId="27" fillId="5" borderId="1" applyAlignment="1" pivotButton="0" quotePrefix="0" xfId="0">
      <alignment horizontal="right" vertical="center"/>
    </xf>
    <xf numFmtId="0" fontId="12" fillId="24" borderId="0" applyAlignment="1" pivotButton="0" quotePrefix="0" xfId="0">
      <alignment horizontal="center" vertical="center"/>
    </xf>
    <xf numFmtId="0" fontId="14" fillId="24" borderId="1" applyAlignment="1" pivotButton="0" quotePrefix="0" xfId="0">
      <alignment horizontal="center" vertical="center" wrapText="1"/>
    </xf>
    <xf numFmtId="0" fontId="11" fillId="7" borderId="1" applyAlignment="1" pivotButton="0" quotePrefix="0" xfId="0">
      <alignment horizontal="left" vertical="center" wrapText="1"/>
    </xf>
    <xf numFmtId="0" fontId="15" fillId="7" borderId="1" applyAlignment="1" pivotButton="0" quotePrefix="0" xfId="0">
      <alignment horizontal="left" vertical="center" wrapText="1"/>
    </xf>
    <xf numFmtId="0" fontId="29" fillId="7" borderId="1" applyAlignment="1" pivotButton="0" quotePrefix="0" xfId="0">
      <alignment horizontal="left" vertical="center" wrapText="1"/>
    </xf>
    <xf numFmtId="0" fontId="11" fillId="5" borderId="1" applyAlignment="1" pivotButton="0" quotePrefix="0" xfId="0">
      <alignment horizontal="left" vertical="center" wrapText="1"/>
    </xf>
    <xf numFmtId="0" fontId="15" fillId="5" borderId="1" applyAlignment="1" pivotButton="0" quotePrefix="0" xfId="0">
      <alignment horizontal="left" vertical="center" wrapText="1"/>
    </xf>
    <xf numFmtId="0" fontId="30"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Quoted Amount by Work Type</a:t>
            </a:r>
          </a:p>
        </rich>
      </tx>
    </title>
    <plotArea>
      <pieChart>
        <varyColors val="1"/>
        <ser>
          <idx val="0"/>
          <order val="0"/>
          <tx>
            <strRef>
              <f>'Work Type Summary'!D2</f>
            </strRef>
          </tx>
          <spPr>
            <a:ln xmlns:a="http://schemas.openxmlformats.org/drawingml/2006/main">
              <a:prstDash val="solid"/>
            </a:ln>
          </spPr>
          <cat>
            <numRef>
              <f>'Work Type Summary'!$A$3:$A$12</f>
            </numRef>
          </cat>
          <val>
            <numRef>
              <f>'Work Type Summary'!$D$3:$D$12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15</row>
      <rowOff>0</rowOff>
    </from>
    <ext cx="576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I29"/>
  <sheetViews>
    <sheetView showGridLines="0" workbookViewId="0">
      <selection activeCell="A1" sqref="A1"/>
    </sheetView>
  </sheetViews>
  <sheetFormatPr baseColWidth="8" defaultRowHeight="15"/>
  <cols>
    <col width="2" customWidth="1" min="2" max="2"/>
    <col width="26" customWidth="1" min="3" max="3"/>
    <col width="22" customWidth="1" min="4" max="4"/>
    <col width="24" customWidth="1" min="5" max="5"/>
    <col width="18" customWidth="1" min="6" max="6"/>
    <col width="16" customWidth="1" min="7" max="7"/>
    <col width="16" customWidth="1" min="8" max="8"/>
    <col width="16" customWidth="1" min="9" max="9"/>
  </cols>
  <sheetData>
    <row r="2" ht="20" customHeight="1">
      <c r="B2" s="1" t="inlineStr">
        <is>
          <t>🏗  BOQ vs SOR RATE ANALYSIS — TENDER ID: 1264860</t>
        </is>
      </c>
    </row>
    <row r="3" ht="20" customHeight="1">
      <c r="B3" s="2" t="inlineStr">
        <is>
          <t>BSL/MHDJ/WD-11 — River Bank Protection Work of Tetulia River (Right Bank) Km 3.000–3.300</t>
        </is>
      </c>
    </row>
    <row r="4" ht="20" customHeight="1"/>
    <row r="5" ht="20" customHeight="1">
      <c r="C5" s="3" t="inlineStr">
        <is>
          <t>Procuring Entity</t>
        </is>
      </c>
      <c r="E5" s="4" t="inlineStr">
        <is>
          <t>BWDB — Barishal Water Development Division</t>
        </is>
      </c>
    </row>
    <row r="6" ht="20" customHeight="1">
      <c r="C6" s="3" t="inlineStr">
        <is>
          <t>Location</t>
        </is>
      </c>
      <c r="E6" s="4" t="inlineStr">
        <is>
          <t>Mehendigonj Upazila, Barishal District</t>
        </is>
      </c>
    </row>
    <row r="7" ht="20" customHeight="1">
      <c r="C7" s="3" t="inlineStr">
        <is>
          <t>Agency / SOR</t>
        </is>
      </c>
      <c r="E7" s="4" t="inlineStr">
        <is>
          <t>BWDB 2019-20 Schedule of Rates</t>
        </is>
      </c>
    </row>
    <row r="8" ht="20" customHeight="1">
      <c r="C8" s="3" t="inlineStr">
        <is>
          <t>Zone</t>
        </is>
      </c>
      <c r="E8" s="4" t="inlineStr">
        <is>
          <t>Zone D (Barishal Division)</t>
        </is>
      </c>
    </row>
    <row r="9" ht="20" customHeight="1">
      <c r="C9" s="3" t="inlineStr">
        <is>
          <t>Invitation Ref.</t>
        </is>
      </c>
      <c r="E9" s="4" t="inlineStr">
        <is>
          <t>42.01.0600.000.112.07.0001.25-2642, Date: 27/04/2026</t>
        </is>
      </c>
    </row>
    <row r="10" ht="20" customHeight="1">
      <c r="C10" s="3" t="inlineStr">
        <is>
          <t>Tender ID</t>
        </is>
      </c>
      <c r="E10" s="4" t="inlineStr">
        <is>
          <t>1264860</t>
        </is>
      </c>
    </row>
    <row r="11" ht="20" customHeight="1">
      <c r="C11" s="3" t="inlineStr">
        <is>
          <t>Tender Security</t>
        </is>
      </c>
      <c r="E11" s="4" t="inlineStr">
        <is>
          <t>Tk. 61,00,000 (Sixty One Lakh)</t>
        </is>
      </c>
    </row>
    <row r="12" ht="20" customHeight="1">
      <c r="C12" s="3" t="inlineStr">
        <is>
          <t>Closing Date</t>
        </is>
      </c>
      <c r="E12" s="4" t="inlineStr">
        <is>
          <t>19-May-2026 14:00</t>
        </is>
      </c>
    </row>
    <row r="13" ht="20" customHeight="1">
      <c r="C13" s="3" t="inlineStr">
        <is>
          <t>Work Period</t>
        </is>
      </c>
      <c r="E13" s="4" t="inlineStr">
        <is>
          <t>01-Oct-2026 to 23-Mar-2028</t>
        </is>
      </c>
    </row>
    <row r="14" ht="20" customHeight="1">
      <c r="C14" s="3" t="inlineStr">
        <is>
          <t>Report Generated</t>
        </is>
      </c>
      <c r="E14" s="4" t="inlineStr">
        <is>
          <t>24-May-2026 22:47</t>
        </is>
      </c>
    </row>
    <row r="15" ht="20" customHeight="1"/>
    <row r="16" ht="20" customHeight="1">
      <c r="C16" s="3" t="inlineStr">
        <is>
          <t>Total SOR Amount (BDT)</t>
        </is>
      </c>
      <c r="F16" s="5" t="n">
        <v>241865221.7683</v>
      </c>
    </row>
    <row r="17" ht="20" customHeight="1">
      <c r="C17" s="3" t="inlineStr">
        <is>
          <t>Total Quoted Amount (BDT)</t>
        </is>
      </c>
      <c r="F17" s="6" t="n">
        <v>236856068.84969</v>
      </c>
    </row>
    <row r="18" ht="20" customHeight="1">
      <c r="C18" s="3" t="inlineStr">
        <is>
          <t>Saving vs SOR (BDT)</t>
        </is>
      </c>
      <c r="F18" s="7" t="n">
        <v>5009152.918610007</v>
      </c>
    </row>
    <row r="19" ht="20" customHeight="1">
      <c r="C19" s="3" t="inlineStr">
        <is>
          <t>Discount (%)</t>
        </is>
      </c>
      <c r="F19" s="8" t="n">
        <v>2.07</v>
      </c>
    </row>
    <row r="20" ht="20" customHeight="1"/>
    <row r="21" ht="20" customHeight="1">
      <c r="C21" s="9" t="inlineStr">
        <is>
          <t>📋 QUALIFICATION REQUIREMENTS (TDS)</t>
        </is>
      </c>
    </row>
    <row r="22" ht="20" customHeight="1">
      <c r="C22" s="10" t="inlineStr">
        <is>
          <t>Experience (General)</t>
        </is>
      </c>
      <c r="E22" s="11" t="inlineStr">
        <is>
          <t>5 years as Prime/Sub/Mgmt Contractor</t>
        </is>
      </c>
    </row>
    <row r="23" ht="20" customHeight="1">
      <c r="C23" s="10" t="inlineStr">
        <is>
          <t>Experience (Specific)</t>
        </is>
      </c>
      <c r="E23" s="11" t="inlineStr">
        <is>
          <t>Min 1 contract revetment/bank protection ≥ Tk. 1,210 Lakh (last 5 yrs)</t>
        </is>
      </c>
    </row>
    <row r="24" ht="20" customHeight="1">
      <c r="C24" s="10" t="inlineStr">
        <is>
          <t>Annual Turnover (AACT)</t>
        </is>
      </c>
      <c r="E24" s="11" t="inlineStr">
        <is>
          <t>Tk. 2,420 Lakh over last 5 financial years</t>
        </is>
      </c>
    </row>
    <row r="25" ht="20" customHeight="1">
      <c r="C25" s="10" t="inlineStr">
        <is>
          <t>Financial Resources</t>
        </is>
      </c>
      <c r="E25" s="11" t="inlineStr">
        <is>
          <t>Tk. 850 Lakh (liquid/credit line) — Form e-PW3-8</t>
        </is>
      </c>
    </row>
    <row r="26" ht="20" customHeight="1">
      <c r="C26" s="10" t="inlineStr">
        <is>
          <t>Min Tender Capacity</t>
        </is>
      </c>
      <c r="E26" s="11" t="inlineStr">
        <is>
          <t>Tk. 1,820 Lakh</t>
        </is>
      </c>
    </row>
    <row r="27" ht="20" customHeight="1">
      <c r="C27" s="10" t="inlineStr">
        <is>
          <t>Personnel</t>
        </is>
      </c>
      <c r="E27" s="11" t="inlineStr">
        <is>
          <t>Project Manager (BSc Civil, 5yr) + JE (BSc, 4yr) + 2 Site Engineers (Diploma)</t>
        </is>
      </c>
    </row>
    <row r="28" ht="20" customHeight="1">
      <c r="C28" s="10" t="inlineStr">
        <is>
          <t>Equipment</t>
        </is>
      </c>
      <c r="E28" s="11" t="inlineStr">
        <is>
          <t>4 Concrete Mixers, 4 Vibrators, 3000 Block Forms, 2 Excavators, 4 Engine Boats, 2 Barges</t>
        </is>
      </c>
    </row>
    <row r="29" ht="20" customHeight="1">
      <c r="C29" s="10" t="inlineStr">
        <is>
          <t>JV</t>
        </is>
      </c>
      <c r="E29" s="11" t="inlineStr">
        <is>
          <t>Allowed — e-PW3-B form, non-judicial stamp Tk. 300</t>
        </is>
      </c>
    </row>
    <row r="30" ht="20" customHeight="1"/>
    <row r="31" ht="20" customHeight="1"/>
  </sheetData>
  <mergeCells count="47">
    <mergeCell ref="C16:E16"/>
    <mergeCell ref="C6:D6"/>
    <mergeCell ref="E12:I12"/>
    <mergeCell ref="C24:D24"/>
    <mergeCell ref="E24:I24"/>
    <mergeCell ref="C5:D5"/>
    <mergeCell ref="B3:I3"/>
    <mergeCell ref="C14:D14"/>
    <mergeCell ref="E5:I5"/>
    <mergeCell ref="E23:I23"/>
    <mergeCell ref="E8:I8"/>
    <mergeCell ref="E14:I14"/>
    <mergeCell ref="C26:D26"/>
    <mergeCell ref="C29:D29"/>
    <mergeCell ref="C10:D10"/>
    <mergeCell ref="E29:I29"/>
    <mergeCell ref="C25:D25"/>
    <mergeCell ref="B2:I2"/>
    <mergeCell ref="E10:I10"/>
    <mergeCell ref="E28:I28"/>
    <mergeCell ref="E13:I13"/>
    <mergeCell ref="C17:E17"/>
    <mergeCell ref="F16:I16"/>
    <mergeCell ref="C22:D22"/>
    <mergeCell ref="C9:D9"/>
    <mergeCell ref="F19:I19"/>
    <mergeCell ref="E9:I9"/>
    <mergeCell ref="C12:D12"/>
    <mergeCell ref="C19:E19"/>
    <mergeCell ref="E6:I6"/>
    <mergeCell ref="C11:D11"/>
    <mergeCell ref="C27:D27"/>
    <mergeCell ref="C18:E18"/>
    <mergeCell ref="E11:I11"/>
    <mergeCell ref="E27:I27"/>
    <mergeCell ref="C23:D23"/>
    <mergeCell ref="C8:D8"/>
    <mergeCell ref="E26:I26"/>
    <mergeCell ref="F18:I18"/>
    <mergeCell ref="C7:D7"/>
    <mergeCell ref="E7:I7"/>
    <mergeCell ref="F17:I17"/>
    <mergeCell ref="C21:I21"/>
    <mergeCell ref="E25:I25"/>
    <mergeCell ref="C28:D28"/>
    <mergeCell ref="C13:D13"/>
    <mergeCell ref="E22:I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8"/>
  <sheetViews>
    <sheetView showGridLines="0" workbookViewId="0">
      <pane ySplit="3" topLeftCell="A4" activePane="bottomLeft" state="frozen"/>
      <selection pane="bottomLeft" activeCell="A1" sqref="A1"/>
    </sheetView>
  </sheetViews>
  <sheetFormatPr baseColWidth="8" defaultRowHeight="15"/>
  <cols>
    <col width="4" customWidth="1" min="1" max="1"/>
    <col width="10" customWidth="1" min="2" max="2"/>
    <col width="7" customWidth="1" min="3" max="3"/>
    <col width="13" customWidth="1" min="4" max="4"/>
    <col width="50" customWidth="1" min="5" max="5"/>
    <col width="5" customWidth="1" min="6" max="6"/>
    <col width="10" customWidth="1" min="7" max="7"/>
    <col width="13" customWidth="1" min="8" max="8"/>
    <col width="15" customWidth="1" min="9" max="9"/>
    <col width="13" customWidth="1" min="10" max="10"/>
    <col width="15" customWidth="1" min="11" max="11"/>
    <col width="12" customWidth="1" min="12" max="12"/>
    <col width="9" customWidth="1" min="13" max="13"/>
    <col width="11" customWidth="1" min="14" max="14"/>
  </cols>
  <sheetData>
    <row r="1" ht="28" customHeight="1">
      <c r="A1" s="12" t="inlineStr">
        <is>
          <t>BOQ vs BWDB SOR RATE COMPARISON — Tender 1264860 — BSL/MHDJ/WD-11</t>
        </is>
      </c>
    </row>
    <row r="2" ht="16" customHeight="1">
      <c r="A2" s="13" t="inlineStr">
        <is>
          <t xml:space="preserve">  LEGEND:   ✅ AT SOR (±1%)    ⚠ VARIANCE (1–10%)    🔵 BELOW SOR (&gt;10% discount)    🔴 ABOVE SOR (&gt;10% premium)   |   Agency: BWDB = Water Dev Board  |  PWD = Public Works  |  LGED = Local Gov Eng</t>
        </is>
      </c>
    </row>
    <row r="3" ht="32" customHeight="1">
      <c r="A3" s="14" t="inlineStr">
        <is>
          <t>#</t>
        </is>
      </c>
      <c r="B3" s="14" t="inlineStr">
        <is>
          <t>Item
Code</t>
        </is>
      </c>
      <c r="C3" s="14" t="inlineStr">
        <is>
          <t>Agency</t>
        </is>
      </c>
      <c r="D3" s="14" t="inlineStr">
        <is>
          <t>Work
Type</t>
        </is>
      </c>
      <c r="E3" s="14" t="inlineStr">
        <is>
          <t>Description of Item</t>
        </is>
      </c>
      <c r="F3" s="14" t="inlineStr">
        <is>
          <t>Unit</t>
        </is>
      </c>
      <c r="G3" s="14" t="inlineStr">
        <is>
          <t>Quantity</t>
        </is>
      </c>
      <c r="H3" s="14" t="inlineStr">
        <is>
          <t>BWDB SOR
Rate (BDT)</t>
        </is>
      </c>
      <c r="I3" s="14" t="inlineStr">
        <is>
          <t>SOR
Amount (BDT)</t>
        </is>
      </c>
      <c r="J3" s="14" t="inlineStr">
        <is>
          <t>Quoted
Rate (BDT)</t>
        </is>
      </c>
      <c r="K3" s="14" t="inlineStr">
        <is>
          <t>Quoted
Amount (BDT)</t>
        </is>
      </c>
      <c r="L3" s="14" t="inlineStr">
        <is>
          <t>Rate
Diff (BDT)</t>
        </is>
      </c>
      <c r="M3" s="14" t="inlineStr">
        <is>
          <t>Variance
(%)</t>
        </is>
      </c>
      <c r="N3" s="14" t="inlineStr">
        <is>
          <t>Status</t>
        </is>
      </c>
    </row>
    <row r="4" ht="16" customHeight="1">
      <c r="A4" s="15" t="inlineStr">
        <is>
          <t>▶  PRELIMINARIES</t>
        </is>
      </c>
    </row>
    <row r="5" ht="44" customHeight="1">
      <c r="A5" s="16" t="n">
        <v>1</v>
      </c>
      <c r="B5" s="17" t="inlineStr">
        <is>
          <t>04-180</t>
        </is>
      </c>
      <c r="C5" s="18" t="inlineStr">
        <is>
          <t>BWDB</t>
        </is>
      </c>
      <c r="D5" s="17" t="inlineStr">
        <is>
          <t>Preliminaries</t>
        </is>
      </c>
      <c r="E5" s="19" t="inlineStr">
        <is>
          <t>Preparation of Site by manually removing all miscellaneous objectionable materials</t>
        </is>
      </c>
      <c r="F5" s="20" t="inlineStr">
        <is>
          <t>sqm</t>
        </is>
      </c>
      <c r="G5" s="21" t="n">
        <v>36000</v>
      </c>
      <c r="H5" s="22" t="n">
        <v>43.54</v>
      </c>
      <c r="I5" s="23" t="n">
        <v>1567440</v>
      </c>
      <c r="J5" s="22" t="n">
        <v>30.478</v>
      </c>
      <c r="K5" s="23" t="n">
        <v>1097208</v>
      </c>
      <c r="L5" s="24" t="n">
        <v>-13.062</v>
      </c>
      <c r="M5" s="25" t="n">
        <v>-0.3</v>
      </c>
      <c r="N5" s="26" t="inlineStr">
        <is>
          <t>BELOW SOR</t>
        </is>
      </c>
    </row>
    <row r="6" ht="32" customHeight="1">
      <c r="A6" s="16" t="n">
        <v>2</v>
      </c>
      <c r="B6" s="17" t="inlineStr">
        <is>
          <t>01.1.3</t>
        </is>
      </c>
      <c r="C6" s="27" t="inlineStr">
        <is>
          <t>PWD</t>
        </is>
      </c>
      <c r="D6" s="17" t="inlineStr">
        <is>
          <t>Preliminaries</t>
        </is>
      </c>
      <c r="E6" s="19" t="inlineStr">
        <is>
          <t>Erection and maintenance of semi permanent site office</t>
        </is>
      </c>
      <c r="F6" s="20" t="inlineStr">
        <is>
          <t>Each</t>
        </is>
      </c>
      <c r="G6" s="21" t="n">
        <v>1</v>
      </c>
      <c r="H6" s="22" t="n">
        <v>487130</v>
      </c>
      <c r="I6" s="23" t="n">
        <v>487130</v>
      </c>
      <c r="J6" s="22" t="n">
        <v>487130</v>
      </c>
      <c r="K6" s="23" t="n">
        <v>487130</v>
      </c>
      <c r="L6" s="28" t="n">
        <v>0</v>
      </c>
      <c r="M6" s="29" t="n">
        <v>0</v>
      </c>
      <c r="N6" s="30" t="inlineStr">
        <is>
          <t>AT SOR</t>
        </is>
      </c>
    </row>
    <row r="7" ht="16" customHeight="1">
      <c r="A7" s="15" t="inlineStr">
        <is>
          <t>▶  EARTHWORK</t>
        </is>
      </c>
    </row>
    <row r="8" ht="56" customHeight="1">
      <c r="A8" s="31" t="n">
        <v>3</v>
      </c>
      <c r="B8" s="32" t="inlineStr">
        <is>
          <t>40-920</t>
        </is>
      </c>
      <c r="C8" s="18" t="inlineStr">
        <is>
          <t>BWDB</t>
        </is>
      </c>
      <c r="D8" s="32" t="inlineStr">
        <is>
          <t>Earthwork</t>
        </is>
      </c>
      <c r="E8" s="33" t="inlineStr">
        <is>
          <t>Earth work in cutting and filling of eroded bank of river, channel etc. ,ditch filling within 50m rest disposed at 100m distance</t>
        </is>
      </c>
      <c r="F8" s="34" t="inlineStr">
        <is>
          <t>cum</t>
        </is>
      </c>
      <c r="G8" s="35" t="n">
        <v>3367.55</v>
      </c>
      <c r="H8" s="36" t="n">
        <v>248.87</v>
      </c>
      <c r="I8" s="37" t="n">
        <v>838082.1685</v>
      </c>
      <c r="J8" s="36" t="n">
        <v>199.096</v>
      </c>
      <c r="K8" s="37" t="n">
        <v>670465.7348000001</v>
      </c>
      <c r="L8" s="38" t="n">
        <v>-49.774</v>
      </c>
      <c r="M8" s="39" t="n">
        <v>-0.2</v>
      </c>
      <c r="N8" s="26" t="inlineStr">
        <is>
          <t>BELOW SOR</t>
        </is>
      </c>
    </row>
    <row r="9" ht="32" customHeight="1">
      <c r="A9" s="31" t="n">
        <v>4</v>
      </c>
      <c r="B9" s="32" t="inlineStr">
        <is>
          <t>16-720-10</t>
        </is>
      </c>
      <c r="C9" s="18" t="inlineStr">
        <is>
          <t>BWDB</t>
        </is>
      </c>
      <c r="D9" s="32" t="inlineStr">
        <is>
          <t>Earthwork</t>
        </is>
      </c>
      <c r="E9" s="33" t="inlineStr">
        <is>
          <t>Filling ditch/pond/channel/khal etc  within 1 km along the rive</t>
        </is>
      </c>
      <c r="F9" s="34" t="inlineStr">
        <is>
          <t>cum/km</t>
        </is>
      </c>
      <c r="G9" s="35" t="n">
        <v>5178.74</v>
      </c>
      <c r="H9" s="36" t="n">
        <v>173.46</v>
      </c>
      <c r="I9" s="37" t="n">
        <v>898304.2404</v>
      </c>
      <c r="J9" s="36" t="n">
        <v>138.768</v>
      </c>
      <c r="K9" s="37" t="n">
        <v>718643.39232</v>
      </c>
      <c r="L9" s="38" t="n">
        <v>-34.69200000000001</v>
      </c>
      <c r="M9" s="39" t="n">
        <v>-0.2</v>
      </c>
      <c r="N9" s="26" t="inlineStr">
        <is>
          <t>BELOW SOR</t>
        </is>
      </c>
    </row>
    <row r="10" ht="32" customHeight="1">
      <c r="A10" s="31" t="n">
        <v>5</v>
      </c>
      <c r="B10" s="32" t="inlineStr">
        <is>
          <t>16-720-20</t>
        </is>
      </c>
      <c r="C10" s="18" t="inlineStr">
        <is>
          <t>BWDB</t>
        </is>
      </c>
      <c r="D10" s="32" t="inlineStr">
        <is>
          <t>Earthwork</t>
        </is>
      </c>
      <c r="E10" s="33" t="inlineStr">
        <is>
          <t>Filling ditch/pond/channel/khal etc  within 2 km &amp; above along the rive</t>
        </is>
      </c>
      <c r="F10" s="34" t="inlineStr">
        <is>
          <t>cum/km</t>
        </is>
      </c>
      <c r="G10" s="35" t="n">
        <v>5178.74</v>
      </c>
      <c r="H10" s="36" t="n">
        <v>5.31</v>
      </c>
      <c r="I10" s="37" t="n">
        <v>27499.1094</v>
      </c>
      <c r="J10" s="36" t="n">
        <v>4.248</v>
      </c>
      <c r="K10" s="37" t="n">
        <v>21999.28752</v>
      </c>
      <c r="L10" s="38" t="n">
        <v>-1.061999999999999</v>
      </c>
      <c r="M10" s="39" t="n">
        <v>-0.2</v>
      </c>
      <c r="N10" s="26" t="inlineStr">
        <is>
          <t>BELOW SOR</t>
        </is>
      </c>
    </row>
    <row r="11" ht="16" customHeight="1">
      <c r="A11" s="15" t="inlineStr">
        <is>
          <t>▶  FILTER WORKS</t>
        </is>
      </c>
    </row>
    <row r="12" ht="32" customHeight="1">
      <c r="A12" s="40" t="n">
        <v>6</v>
      </c>
      <c r="B12" s="41" t="inlineStr">
        <is>
          <t>40-550-30</t>
        </is>
      </c>
      <c r="C12" s="18" t="inlineStr">
        <is>
          <t>BWDB</t>
        </is>
      </c>
      <c r="D12" s="41" t="inlineStr">
        <is>
          <t>Filter Works</t>
        </is>
      </c>
      <c r="E12" s="42" t="inlineStr">
        <is>
          <t>Supply &amp; Laying Sand filter FM: 1.0 to 1.5</t>
        </is>
      </c>
      <c r="F12" s="43" t="inlineStr">
        <is>
          <t>cum</t>
        </is>
      </c>
      <c r="G12" s="44" t="n">
        <v>193.65</v>
      </c>
      <c r="H12" s="45" t="n">
        <v>1344.22</v>
      </c>
      <c r="I12" s="46" t="n">
        <v>260308.203</v>
      </c>
      <c r="J12" s="45" t="n">
        <v>1008.165</v>
      </c>
      <c r="K12" s="46" t="n">
        <v>195231.15225</v>
      </c>
      <c r="L12" s="47" t="n">
        <v>-336.0550000000001</v>
      </c>
      <c r="M12" s="48" t="n">
        <v>-0.25</v>
      </c>
      <c r="N12" s="26" t="inlineStr">
        <is>
          <t>BELOW SOR</t>
        </is>
      </c>
    </row>
    <row r="13" ht="16" customHeight="1">
      <c r="A13" s="15" t="inlineStr">
        <is>
          <t>▶  GEO-BAGS / GEOTEXTILE</t>
        </is>
      </c>
    </row>
    <row r="14" ht="44" customHeight="1">
      <c r="A14" s="49" t="n">
        <v>7</v>
      </c>
      <c r="B14" s="50" t="inlineStr">
        <is>
          <t>40-500-40</t>
        </is>
      </c>
      <c r="C14" s="18" t="inlineStr">
        <is>
          <t>BWDB</t>
        </is>
      </c>
      <c r="D14" s="50" t="inlineStr">
        <is>
          <t>Geo-Bags / Geotextile</t>
        </is>
      </c>
      <c r="E14" s="51" t="inlineStr">
        <is>
          <t>Geo-tex filter supply and laying, 3mm thickness, 400 g/m2 mass100% Polypropylene Fabric, Thickness=&gt; 3mm</t>
        </is>
      </c>
      <c r="F14" s="52" t="inlineStr">
        <is>
          <t>sqm</t>
        </is>
      </c>
      <c r="G14" s="53" t="n">
        <v>3075.86</v>
      </c>
      <c r="H14" s="54" t="n">
        <v>286.16</v>
      </c>
      <c r="I14" s="55" t="n">
        <v>880188.0976000001</v>
      </c>
      <c r="J14" s="54" t="n">
        <v>228.928</v>
      </c>
      <c r="K14" s="55" t="n">
        <v>704150.4780800001</v>
      </c>
      <c r="L14" s="56" t="n">
        <v>-57.232</v>
      </c>
      <c r="M14" s="57" t="n">
        <v>-0.2</v>
      </c>
      <c r="N14" s="26" t="inlineStr">
        <is>
          <t>BELOW SOR</t>
        </is>
      </c>
    </row>
    <row r="15" ht="16" customHeight="1">
      <c r="A15" s="15" t="inlineStr">
        <is>
          <t>▶  FILTER WORKS</t>
        </is>
      </c>
    </row>
    <row r="16" ht="32" customHeight="1">
      <c r="A16" s="40" t="n">
        <v>8</v>
      </c>
      <c r="B16" s="41" t="inlineStr">
        <is>
          <t>40-520-20</t>
        </is>
      </c>
      <c r="C16" s="18" t="inlineStr">
        <is>
          <t>BWDB</t>
        </is>
      </c>
      <c r="D16" s="41" t="inlineStr">
        <is>
          <t>Filter Works</t>
        </is>
      </c>
      <c r="E16" s="42" t="inlineStr">
        <is>
          <t>Jhama chips Well graded between 40mm to 20mm size</t>
        </is>
      </c>
      <c r="F16" s="43" t="inlineStr">
        <is>
          <t>cum</t>
        </is>
      </c>
      <c r="G16" s="44" t="n">
        <v>96.40000000000001</v>
      </c>
      <c r="H16" s="45" t="n">
        <v>5784.88</v>
      </c>
      <c r="I16" s="46" t="n">
        <v>557662.432</v>
      </c>
      <c r="J16" s="45" t="n">
        <v>4627.904</v>
      </c>
      <c r="K16" s="46" t="n">
        <v>446129.9456000001</v>
      </c>
      <c r="L16" s="47" t="n">
        <v>-1156.976</v>
      </c>
      <c r="M16" s="48" t="n">
        <v>-0.2</v>
      </c>
      <c r="N16" s="26" t="inlineStr">
        <is>
          <t>BELOW SOR</t>
        </is>
      </c>
    </row>
    <row r="17" ht="44" customHeight="1">
      <c r="A17" s="40" t="n">
        <v>9</v>
      </c>
      <c r="B17" s="41" t="inlineStr">
        <is>
          <t>40-520-30</t>
        </is>
      </c>
      <c r="C17" s="18" t="inlineStr">
        <is>
          <t>BWDB</t>
        </is>
      </c>
      <c r="D17" s="41" t="inlineStr">
        <is>
          <t>Filter Works</t>
        </is>
      </c>
      <c r="E17" s="42" t="inlineStr">
        <is>
          <t>Jhama chips Well graded between 20mm to 5mm size (Combination of sub-item 10 &amp; 30 or 20 &amp; 30 shall be used).</t>
        </is>
      </c>
      <c r="F17" s="43" t="inlineStr">
        <is>
          <t>cum</t>
        </is>
      </c>
      <c r="G17" s="44" t="n">
        <v>96.40000000000001</v>
      </c>
      <c r="H17" s="45" t="n">
        <v>6285.92</v>
      </c>
      <c r="I17" s="46" t="n">
        <v>605962.6880000001</v>
      </c>
      <c r="J17" s="45" t="n">
        <v>5028.736000000001</v>
      </c>
      <c r="K17" s="46" t="n">
        <v>484770.1504000001</v>
      </c>
      <c r="L17" s="47" t="n">
        <v>-1257.183999999999</v>
      </c>
      <c r="M17" s="48" t="n">
        <v>-0.2</v>
      </c>
      <c r="N17" s="26" t="inlineStr">
        <is>
          <t>BELOW SOR</t>
        </is>
      </c>
    </row>
    <row r="18" ht="16" customHeight="1">
      <c r="A18" s="15" t="inlineStr">
        <is>
          <t>▶  CC BLOCKS &amp; DUMPING</t>
        </is>
      </c>
    </row>
    <row r="19" ht="56" customHeight="1">
      <c r="A19" s="58" t="n">
        <v>10</v>
      </c>
      <c r="B19" s="59" t="inlineStr">
        <is>
          <t>40-170-40</t>
        </is>
      </c>
      <c r="C19" s="18" t="inlineStr">
        <is>
          <t>BWDB</t>
        </is>
      </c>
      <c r="D19" s="59" t="inlineStr">
        <is>
          <t>CC Blocks &amp; Dumping</t>
        </is>
      </c>
      <c r="E19" s="60" t="inlineStr">
        <is>
          <t>C.C blocks(1:3:5.5), FM&gt;=1.5, Stone chips 40mm, Block size 40 cm x 40 cm x 20 cm; 28 days cylinder strength of 10.50 N/mm²</t>
        </is>
      </c>
      <c r="F19" s="61" t="inlineStr">
        <is>
          <t>Each</t>
        </is>
      </c>
      <c r="G19" s="62" t="n">
        <v>10440</v>
      </c>
      <c r="H19" s="63" t="n">
        <v>485</v>
      </c>
      <c r="I19" s="64" t="n">
        <v>5063400</v>
      </c>
      <c r="J19" s="63" t="n">
        <v>495</v>
      </c>
      <c r="K19" s="64" t="n">
        <v>5167800</v>
      </c>
      <c r="L19" s="65" t="n">
        <v>10</v>
      </c>
      <c r="M19" s="66" t="n">
        <v>0.0206</v>
      </c>
      <c r="N19" s="67" t="inlineStr">
        <is>
          <t>VARIANCE</t>
        </is>
      </c>
    </row>
    <row r="20" ht="56" customHeight="1">
      <c r="A20" s="58" t="n">
        <v>11</v>
      </c>
      <c r="B20" s="59" t="inlineStr">
        <is>
          <t>40-170-06</t>
        </is>
      </c>
      <c r="C20" s="18" t="inlineStr">
        <is>
          <t>BWDB</t>
        </is>
      </c>
      <c r="D20" s="59" t="inlineStr">
        <is>
          <t>CC Blocks &amp; Dumping</t>
        </is>
      </c>
      <c r="E20" s="60" t="inlineStr">
        <is>
          <t>C.C blocks(1:3:5.5), FM&gt;=1.5, Stone chips 40mm, Block size 40 cm x 40 cm x 30 cm; 28 days cylinder strength of 9.0 N/mm131</t>
        </is>
      </c>
      <c r="F20" s="61" t="n">
        <v/>
      </c>
      <c r="G20" s="62" t="n">
        <v>2043</v>
      </c>
      <c r="H20" s="63" t="n">
        <v>727.51</v>
      </c>
      <c r="I20" s="64" t="n">
        <v>1486302.93</v>
      </c>
      <c r="J20" s="63" t="n">
        <v>745</v>
      </c>
      <c r="K20" s="64" t="n">
        <v>1522035</v>
      </c>
      <c r="L20" s="65" t="n">
        <v>17.49000000000001</v>
      </c>
      <c r="M20" s="66" t="n">
        <v>0.024</v>
      </c>
      <c r="N20" s="67" t="inlineStr">
        <is>
          <t>VARIANCE</t>
        </is>
      </c>
    </row>
    <row r="21" ht="44" customHeight="1">
      <c r="A21" s="58" t="n">
        <v>12</v>
      </c>
      <c r="B21" s="59" t="inlineStr">
        <is>
          <t>40-170-25</t>
        </is>
      </c>
      <c r="C21" s="18" t="inlineStr">
        <is>
          <t>BWDB</t>
        </is>
      </c>
      <c r="D21" s="59" t="inlineStr">
        <is>
          <t>CC Blocks &amp; Dumping</t>
        </is>
      </c>
      <c r="E21" s="60" t="inlineStr">
        <is>
          <t>C.C blocks(1:3:5.5), FM&gt;=1.5, Stone chips 40mm, Block size 45cm x 45cm x 45cm; 28 days cylinder strength of 9.0 N/mm²</t>
        </is>
      </c>
      <c r="F21" s="61" t="inlineStr">
        <is>
          <t>Each</t>
        </is>
      </c>
      <c r="G21" s="62" t="n">
        <v>67291</v>
      </c>
      <c r="H21" s="63" t="n">
        <v>1384.61</v>
      </c>
      <c r="I21" s="64" t="n">
        <v>93171791.50999999</v>
      </c>
      <c r="J21" s="63" t="n">
        <v>1405</v>
      </c>
      <c r="K21" s="64" t="n">
        <v>94543855</v>
      </c>
      <c r="L21" s="65" t="n">
        <v>20.3900000000001</v>
      </c>
      <c r="M21" s="66" t="n">
        <v>0.0147</v>
      </c>
      <c r="N21" s="67" t="inlineStr">
        <is>
          <t>VARIANCE</t>
        </is>
      </c>
    </row>
    <row r="22" ht="44" customHeight="1">
      <c r="A22" s="58" t="n">
        <v>13</v>
      </c>
      <c r="B22" s="59" t="inlineStr">
        <is>
          <t>40-170-45</t>
        </is>
      </c>
      <c r="C22" s="18" t="inlineStr">
        <is>
          <t>BWDB</t>
        </is>
      </c>
      <c r="D22" s="59" t="inlineStr">
        <is>
          <t>CC Blocks &amp; Dumping</t>
        </is>
      </c>
      <c r="E22" s="60" t="inlineStr">
        <is>
          <t>C.C blocks(1:3:5.5), FM&gt;=1.5, Stone chips 40mm, Block size 35cm x 35cm x 35cm; 28 days cylinder strength of 9.0 N/mm²</t>
        </is>
      </c>
      <c r="F22" s="61" t="inlineStr">
        <is>
          <t>Each</t>
        </is>
      </c>
      <c r="G22" s="62" t="n">
        <v>94813</v>
      </c>
      <c r="H22" s="63" t="n">
        <v>650.35</v>
      </c>
      <c r="I22" s="64" t="n">
        <v>61661634.55</v>
      </c>
      <c r="J22" s="63" t="n">
        <v>660</v>
      </c>
      <c r="K22" s="64" t="n">
        <v>62576580</v>
      </c>
      <c r="L22" s="65" t="n">
        <v>9.649999999999977</v>
      </c>
      <c r="M22" s="66" t="n">
        <v>0.0148</v>
      </c>
      <c r="N22" s="67" t="inlineStr">
        <is>
          <t>VARIANCE</t>
        </is>
      </c>
    </row>
    <row r="23" ht="16" customHeight="1">
      <c r="A23" s="15" t="inlineStr">
        <is>
          <t>▶  GEO-BAGS / GEOTEXTILE</t>
        </is>
      </c>
    </row>
    <row r="24" ht="56" customHeight="1">
      <c r="A24" s="49" t="n">
        <v>14</v>
      </c>
      <c r="B24" s="50" t="inlineStr">
        <is>
          <t>40-360-10</t>
        </is>
      </c>
      <c r="C24" s="18" t="inlineStr">
        <is>
          <t>BWDB</t>
        </is>
      </c>
      <c r="D24" s="50" t="inlineStr">
        <is>
          <t>Geo-Bags / Geotextile</t>
        </is>
      </c>
      <c r="E24" s="51" t="inlineStr">
        <is>
          <t>"[Dumping with Barge &amp; Total Station] Geo-bag; inner size:1200mmX 950mm, Outer size: 1250mmX1000mm; Fill vol= 0.1664cum, wt=250 kg.</t>
        </is>
      </c>
      <c r="F24" s="52" t="inlineStr">
        <is>
          <t>Each</t>
        </is>
      </c>
      <c r="G24" s="53" t="n">
        <v>58594</v>
      </c>
      <c r="H24" s="54" t="n">
        <v>681.72</v>
      </c>
      <c r="I24" s="55" t="n">
        <v>39944701.68</v>
      </c>
      <c r="J24" s="54" t="n">
        <v>675</v>
      </c>
      <c r="K24" s="55" t="n">
        <v>39550950</v>
      </c>
      <c r="L24" s="56" t="n">
        <v>-6.720000000000027</v>
      </c>
      <c r="M24" s="68" t="n">
        <v>-0.009899999999999999</v>
      </c>
      <c r="N24" s="30" t="inlineStr">
        <is>
          <t>AT SOR</t>
        </is>
      </c>
    </row>
    <row r="25" ht="32" customHeight="1">
      <c r="A25" s="49" t="n">
        <v>15</v>
      </c>
      <c r="B25" s="50" t="inlineStr">
        <is>
          <t>40-380-10</t>
        </is>
      </c>
      <c r="C25" s="18" t="inlineStr">
        <is>
          <t>BWDB</t>
        </is>
      </c>
      <c r="D25" s="50" t="inlineStr">
        <is>
          <t>Geo-Bags / Geotextile</t>
        </is>
      </c>
      <c r="E25" s="51" t="inlineStr">
        <is>
          <t>Supplying filling and placing of geo-textile bags 250 Kg</t>
        </is>
      </c>
      <c r="F25" s="52" t="inlineStr">
        <is>
          <t>Nos</t>
        </is>
      </c>
      <c r="G25" s="53" t="n">
        <v>4380</v>
      </c>
      <c r="H25" s="54" t="n">
        <v>655.62</v>
      </c>
      <c r="I25" s="55" t="n">
        <v>2871615.6</v>
      </c>
      <c r="J25" s="54" t="n">
        <v>655.62</v>
      </c>
      <c r="K25" s="55" t="n">
        <v>2871615.6</v>
      </c>
      <c r="L25" s="69" t="n">
        <v>0</v>
      </c>
      <c r="M25" s="68" t="n">
        <v>0</v>
      </c>
      <c r="N25" s="30" t="inlineStr">
        <is>
          <t>AT SOR</t>
        </is>
      </c>
    </row>
    <row r="26" ht="60" customHeight="1">
      <c r="A26" s="49" t="n">
        <v>16</v>
      </c>
      <c r="B26" s="50" t="inlineStr">
        <is>
          <t>40-570-10</t>
        </is>
      </c>
      <c r="C26" s="18" t="inlineStr">
        <is>
          <t>BWDB</t>
        </is>
      </c>
      <c r="D26" s="50" t="inlineStr">
        <is>
          <t>Geo-Bags / Geotextile</t>
        </is>
      </c>
      <c r="E26" s="51" t="inlineStr">
        <is>
          <t>Labour charge for salvaging of Geo-Bags of different sizes including carriage within the site of any protective work with all leads and lifts and stacking in measurable stacks as per direction of Engineer in charge. Salvaging of 250 kg</t>
        </is>
      </c>
      <c r="F26" s="52" t="inlineStr">
        <is>
          <t>Nos</t>
        </is>
      </c>
      <c r="G26" s="53" t="n">
        <v>4380</v>
      </c>
      <c r="H26" s="54" t="n">
        <v>34.17</v>
      </c>
      <c r="I26" s="55" t="n">
        <v>149664.6</v>
      </c>
      <c r="J26" s="54" t="n">
        <v>34.17</v>
      </c>
      <c r="K26" s="55" t="n">
        <v>149664.6</v>
      </c>
      <c r="L26" s="69" t="n">
        <v>0</v>
      </c>
      <c r="M26" s="68" t="n">
        <v>0</v>
      </c>
      <c r="N26" s="30" t="inlineStr">
        <is>
          <t>AT SOR</t>
        </is>
      </c>
    </row>
    <row r="27" ht="56" customHeight="1">
      <c r="A27" s="49" t="n">
        <v>17</v>
      </c>
      <c r="B27" s="50" t="inlineStr">
        <is>
          <t>40-320-10</t>
        </is>
      </c>
      <c r="C27" s="18" t="inlineStr">
        <is>
          <t>BWDB</t>
        </is>
      </c>
      <c r="D27" s="50" t="inlineStr">
        <is>
          <t>Geo-Bags / Geotextile</t>
        </is>
      </c>
      <c r="E27" s="51" t="inlineStr">
        <is>
          <t>Supplying of geo-textile bags (empty) Geo-bag: size= inner:1200mmX 950mm, Outer: 1250mmX1000mm; Geo-fabric thickness=&gt; 3.00mm fill vol= 0.1664cum, wt=250 kg. "</t>
        </is>
      </c>
      <c r="F27" s="52" t="inlineStr">
        <is>
          <t>Nos</t>
        </is>
      </c>
      <c r="G27" s="53" t="n">
        <v>2344</v>
      </c>
      <c r="H27" s="54" t="n">
        <v>424.09</v>
      </c>
      <c r="I27" s="55" t="n">
        <v>994066.96</v>
      </c>
      <c r="J27" s="54" t="n">
        <v>424.09</v>
      </c>
      <c r="K27" s="55" t="n">
        <v>994066.96</v>
      </c>
      <c r="L27" s="69" t="n">
        <v>0</v>
      </c>
      <c r="M27" s="68" t="n">
        <v>0</v>
      </c>
      <c r="N27" s="30" t="inlineStr">
        <is>
          <t>AT SOR</t>
        </is>
      </c>
    </row>
    <row r="28" ht="16" customHeight="1">
      <c r="A28" s="15" t="inlineStr">
        <is>
          <t>▶  CC BLOCKS &amp; DUMPING</t>
        </is>
      </c>
    </row>
    <row r="29" ht="32" customHeight="1">
      <c r="A29" s="58" t="n">
        <v>18</v>
      </c>
      <c r="B29" s="59" t="inlineStr">
        <is>
          <t>40-270-10</t>
        </is>
      </c>
      <c r="C29" s="18" t="inlineStr">
        <is>
          <t>BWDB</t>
        </is>
      </c>
      <c r="D29" s="59" t="inlineStr">
        <is>
          <t>CC Blocks &amp; Dumping</t>
        </is>
      </c>
      <c r="E29" s="60" t="inlineStr">
        <is>
          <t>Labor charge for Laying C.C. Block .Within 200m.</t>
        </is>
      </c>
      <c r="F29" s="61" t="inlineStr">
        <is>
          <t>cum</t>
        </is>
      </c>
      <c r="G29" s="62" t="n">
        <v>439.56</v>
      </c>
      <c r="H29" s="63" t="n">
        <v>1586.93</v>
      </c>
      <c r="I29" s="64" t="n">
        <v>697550.9508</v>
      </c>
      <c r="J29" s="63" t="n">
        <v>1269.544</v>
      </c>
      <c r="K29" s="64" t="n">
        <v>558040.76064</v>
      </c>
      <c r="L29" s="70" t="n">
        <v>-317.386</v>
      </c>
      <c r="M29" s="71" t="n">
        <v>-0.2</v>
      </c>
      <c r="N29" s="26" t="inlineStr">
        <is>
          <t>BELOW SOR</t>
        </is>
      </c>
    </row>
    <row r="30" ht="32" customHeight="1">
      <c r="A30" s="58" t="n">
        <v>19</v>
      </c>
      <c r="B30" s="59" t="inlineStr">
        <is>
          <t>40-270-20</t>
        </is>
      </c>
      <c r="C30" s="18" t="inlineStr">
        <is>
          <t>BWDB</t>
        </is>
      </c>
      <c r="D30" s="59" t="inlineStr">
        <is>
          <t>CC Blocks &amp; Dumping</t>
        </is>
      </c>
      <c r="E30" s="60" t="inlineStr">
        <is>
          <t>Labor charge for Laying C.C. Block .Within 200m. To 500m</t>
        </is>
      </c>
      <c r="F30" s="61" t="inlineStr">
        <is>
          <t>cum</t>
        </is>
      </c>
      <c r="G30" s="62" t="n">
        <v>439.56</v>
      </c>
      <c r="H30" s="63" t="n">
        <v>2486.73</v>
      </c>
      <c r="I30" s="64" t="n">
        <v>1093067.0388</v>
      </c>
      <c r="J30" s="63" t="n">
        <v>1989.384</v>
      </c>
      <c r="K30" s="64" t="n">
        <v>874453.63104</v>
      </c>
      <c r="L30" s="70" t="n">
        <v>-497.346</v>
      </c>
      <c r="M30" s="71" t="n">
        <v>-0.2</v>
      </c>
      <c r="N30" s="26" t="inlineStr">
        <is>
          <t>BELOW SOR</t>
        </is>
      </c>
    </row>
    <row r="31" ht="60" customHeight="1">
      <c r="A31" s="58" t="n">
        <v>20</v>
      </c>
      <c r="B31" s="59" t="inlineStr">
        <is>
          <t>40-300-10</t>
        </is>
      </c>
      <c r="C31" s="18" t="inlineStr">
        <is>
          <t>BWDB</t>
        </is>
      </c>
      <c r="D31" s="59" t="inlineStr">
        <is>
          <t>CC Blocks &amp; Dumping</t>
        </is>
      </c>
      <c r="E31" s="60" t="inlineStr">
        <is>
          <t>Dumping work of Hard rock/stone/ boulders/C.C blocks/brick blocks/ sand cement blocks over a uniform area from properly positioned flat-top pontoon/barge up to an accuracy of 10cm monitoring with total station.-Within 200m.</t>
        </is>
      </c>
      <c r="F31" s="61" t="inlineStr">
        <is>
          <t>cum</t>
        </is>
      </c>
      <c r="G31" s="62" t="n">
        <v>4875.02</v>
      </c>
      <c r="H31" s="63" t="n">
        <v>2463.7</v>
      </c>
      <c r="I31" s="64" t="n">
        <v>12010586.774</v>
      </c>
      <c r="J31" s="63" t="n">
        <v>1970.96</v>
      </c>
      <c r="K31" s="64" t="n">
        <v>9608469.419200001</v>
      </c>
      <c r="L31" s="70" t="n">
        <v>-492.7399999999998</v>
      </c>
      <c r="M31" s="71" t="n">
        <v>-0.2</v>
      </c>
      <c r="N31" s="26" t="inlineStr">
        <is>
          <t>BELOW SOR</t>
        </is>
      </c>
    </row>
    <row r="32" ht="60" customHeight="1">
      <c r="A32" s="58" t="n">
        <v>21</v>
      </c>
      <c r="B32" s="59" t="inlineStr">
        <is>
          <t>40-300-20</t>
        </is>
      </c>
      <c r="C32" s="18" t="inlineStr">
        <is>
          <t>BWDB</t>
        </is>
      </c>
      <c r="D32" s="59" t="inlineStr">
        <is>
          <t>CC Blocks &amp; Dumping</t>
        </is>
      </c>
      <c r="E32" s="60" t="inlineStr">
        <is>
          <t>Dumping work of Hard rock/stone/ boulders/C.C blocks/brick blocks/ sand cement blocks over a uniform area from properly positioned flat-top pontoon/barge up to an accuracy of 10cm monitoring with total station. - 200m. To 500 m</t>
        </is>
      </c>
      <c r="F32" s="61" t="inlineStr">
        <is>
          <t>cum</t>
        </is>
      </c>
      <c r="G32" s="62" t="n">
        <v>4875.02</v>
      </c>
      <c r="H32" s="63" t="n">
        <v>3061.99</v>
      </c>
      <c r="I32" s="64" t="n">
        <v>14927262.4898</v>
      </c>
      <c r="J32" s="63" t="n">
        <v>2449.592</v>
      </c>
      <c r="K32" s="64" t="n">
        <v>11941809.99184</v>
      </c>
      <c r="L32" s="70" t="n">
        <v>-612.3979999999997</v>
      </c>
      <c r="M32" s="71" t="n">
        <v>-0.2</v>
      </c>
      <c r="N32" s="26" t="inlineStr">
        <is>
          <t>BELOW SOR</t>
        </is>
      </c>
    </row>
    <row r="33" ht="16" customHeight="1">
      <c r="A33" s="15" t="inlineStr">
        <is>
          <t>▶  EARTHWORK</t>
        </is>
      </c>
    </row>
    <row r="34" ht="32" customHeight="1">
      <c r="A34" s="31" t="n">
        <v>22</v>
      </c>
      <c r="B34" s="32" t="inlineStr">
        <is>
          <t>02-1-2</t>
        </is>
      </c>
      <c r="C34" s="27" t="inlineStr">
        <is>
          <t>PWD</t>
        </is>
      </c>
      <c r="D34" s="32" t="inlineStr">
        <is>
          <t>Earthwork</t>
        </is>
      </c>
      <c r="E34" s="33" t="inlineStr">
        <is>
          <t>Earth work in excavation in all kinds of soil for foundation trenches</t>
        </is>
      </c>
      <c r="F34" s="34" t="inlineStr">
        <is>
          <t>cum</t>
        </is>
      </c>
      <c r="G34" s="35" t="n">
        <v>42.65</v>
      </c>
      <c r="H34" s="36" t="n">
        <v>153</v>
      </c>
      <c r="I34" s="37" t="n">
        <v>6525.45</v>
      </c>
      <c r="J34" s="36" t="n">
        <v>153</v>
      </c>
      <c r="K34" s="37" t="n">
        <v>6525.45</v>
      </c>
      <c r="L34" s="72" t="n">
        <v>0</v>
      </c>
      <c r="M34" s="73" t="n">
        <v>0</v>
      </c>
      <c r="N34" s="30" t="inlineStr">
        <is>
          <t>AT SOR</t>
        </is>
      </c>
    </row>
    <row r="35" ht="16" customHeight="1">
      <c r="A35" s="15" t="inlineStr">
        <is>
          <t>▶  STRUCTURAL CONCRETE</t>
        </is>
      </c>
    </row>
    <row r="36" ht="32" customHeight="1">
      <c r="A36" s="74" t="n">
        <v>23</v>
      </c>
      <c r="B36" s="75" t="inlineStr">
        <is>
          <t>03.4.2</t>
        </is>
      </c>
      <c r="C36" s="27" t="inlineStr">
        <is>
          <t>PWD</t>
        </is>
      </c>
      <c r="D36" s="75" t="inlineStr">
        <is>
          <t>Structural Concrete</t>
        </is>
      </c>
      <c r="E36" s="76" t="inlineStr">
        <is>
          <t>Lean / blinding concrete (1:3:6) in foundation</t>
        </is>
      </c>
      <c r="F36" s="77" t="inlineStr">
        <is>
          <t>cum</t>
        </is>
      </c>
      <c r="G36" s="78" t="n">
        <v>10.47</v>
      </c>
      <c r="H36" s="79" t="n">
        <v>8971</v>
      </c>
      <c r="I36" s="80" t="n">
        <v>93926.37000000001</v>
      </c>
      <c r="J36" s="79" t="n">
        <v>8971</v>
      </c>
      <c r="K36" s="80" t="n">
        <v>93926.37000000001</v>
      </c>
      <c r="L36" s="81" t="n">
        <v>0</v>
      </c>
      <c r="M36" s="82" t="n">
        <v>0</v>
      </c>
      <c r="N36" s="30" t="inlineStr">
        <is>
          <t>AT SOR</t>
        </is>
      </c>
    </row>
    <row r="37" ht="44" customHeight="1">
      <c r="A37" s="74" t="n">
        <v>24</v>
      </c>
      <c r="B37" s="75" t="inlineStr">
        <is>
          <t>PWD07.18.3</t>
        </is>
      </c>
      <c r="C37" s="27" t="inlineStr">
        <is>
          <t>PWD</t>
        </is>
      </c>
      <c r="D37" s="75" t="inlineStr">
        <is>
          <t>Structural Concrete</t>
        </is>
      </c>
      <c r="E37" s="76" t="inlineStr">
        <is>
          <t>Centering and shuttering, including strutting, propping etc. and removal of form for: Padestals. column, walls</t>
        </is>
      </c>
      <c r="F37" s="77" t="inlineStr">
        <is>
          <t>sqm</t>
        </is>
      </c>
      <c r="G37" s="78" t="n">
        <v>39.69</v>
      </c>
      <c r="H37" s="79" t="n">
        <v>508</v>
      </c>
      <c r="I37" s="80" t="n">
        <v>20162.52</v>
      </c>
      <c r="J37" s="79" t="n">
        <v>508</v>
      </c>
      <c r="K37" s="80" t="n">
        <v>20162.52</v>
      </c>
      <c r="L37" s="81" t="n">
        <v>0</v>
      </c>
      <c r="M37" s="82" t="n">
        <v>0</v>
      </c>
      <c r="N37" s="30" t="inlineStr">
        <is>
          <t>AT SOR</t>
        </is>
      </c>
    </row>
    <row r="38" ht="25" customHeight="1">
      <c r="A38" s="74" t="n">
        <v>25</v>
      </c>
      <c r="B38" s="75" t="inlineStr">
        <is>
          <t>08.1.2</t>
        </is>
      </c>
      <c r="C38" s="27" t="inlineStr">
        <is>
          <t>PWD</t>
        </is>
      </c>
      <c r="D38" s="75" t="inlineStr">
        <is>
          <t>Structural Concrete</t>
        </is>
      </c>
      <c r="E38" s="76" t="inlineStr">
        <is>
          <t>MS Rod</t>
        </is>
      </c>
      <c r="F38" s="77" t="inlineStr">
        <is>
          <t>kg</t>
        </is>
      </c>
      <c r="G38" s="78" t="n">
        <v>693.54</v>
      </c>
      <c r="H38" s="79" t="n">
        <v>120</v>
      </c>
      <c r="I38" s="80" t="n">
        <v>83224.79999999999</v>
      </c>
      <c r="J38" s="79" t="n">
        <v>120</v>
      </c>
      <c r="K38" s="80" t="n">
        <v>83224.79999999999</v>
      </c>
      <c r="L38" s="81" t="n">
        <v>0</v>
      </c>
      <c r="M38" s="82" t="n">
        <v>0</v>
      </c>
      <c r="N38" s="30" t="inlineStr">
        <is>
          <t>AT SOR</t>
        </is>
      </c>
    </row>
    <row r="39" ht="25" customHeight="1">
      <c r="A39" s="74" t="n">
        <v>26</v>
      </c>
      <c r="B39" s="75" t="inlineStr">
        <is>
          <t>07.2.2</t>
        </is>
      </c>
      <c r="C39" s="27" t="inlineStr">
        <is>
          <t>PWD</t>
        </is>
      </c>
      <c r="D39" s="75" t="inlineStr">
        <is>
          <t>Structural Concrete</t>
        </is>
      </c>
      <c r="E39" s="76" t="inlineStr">
        <is>
          <t>RCC Work</t>
        </is>
      </c>
      <c r="F39" s="77" t="inlineStr">
        <is>
          <t>cum</t>
        </is>
      </c>
      <c r="G39" s="78" t="n">
        <v>6.67</v>
      </c>
      <c r="H39" s="79" t="n">
        <v>13680</v>
      </c>
      <c r="I39" s="80" t="n">
        <v>91245.60000000001</v>
      </c>
      <c r="J39" s="79" t="n">
        <v>13680</v>
      </c>
      <c r="K39" s="80" t="n">
        <v>91245.60000000001</v>
      </c>
      <c r="L39" s="81" t="n">
        <v>0</v>
      </c>
      <c r="M39" s="82" t="n">
        <v>0</v>
      </c>
      <c r="N39" s="30" t="inlineStr">
        <is>
          <t>AT SOR</t>
        </is>
      </c>
    </row>
    <row r="40" ht="16" customHeight="1">
      <c r="A40" s="15" t="inlineStr">
        <is>
          <t>▶  FINISHING</t>
        </is>
      </c>
    </row>
    <row r="41" ht="25" customHeight="1">
      <c r="A41" s="83" t="n">
        <v>27</v>
      </c>
      <c r="B41" s="84" t="inlineStr">
        <is>
          <t>3.12.06</t>
        </is>
      </c>
      <c r="C41" s="85" t="inlineStr">
        <is>
          <t>LGED</t>
        </is>
      </c>
      <c r="D41" s="84" t="inlineStr">
        <is>
          <t>Finishing</t>
        </is>
      </c>
      <c r="E41" s="86" t="inlineStr">
        <is>
          <t>Painting and writing on kilometer post</t>
        </is>
      </c>
      <c r="F41" s="87" t="inlineStr">
        <is>
          <t>sqm</t>
        </is>
      </c>
      <c r="G41" s="88" t="n">
        <v>6.16</v>
      </c>
      <c r="H41" s="89" t="n">
        <v>314.54</v>
      </c>
      <c r="I41" s="90" t="n">
        <v>1937.5664</v>
      </c>
      <c r="J41" s="89" t="n">
        <v>314.54</v>
      </c>
      <c r="K41" s="90" t="n">
        <v>1937.5664</v>
      </c>
      <c r="L41" s="91" t="n">
        <v>0</v>
      </c>
      <c r="M41" s="92" t="n">
        <v>0</v>
      </c>
      <c r="N41" s="30" t="inlineStr">
        <is>
          <t>AT SOR</t>
        </is>
      </c>
    </row>
    <row r="42" ht="16" customHeight="1">
      <c r="A42" s="15" t="inlineStr">
        <is>
          <t>▶  ELECTRICAL</t>
        </is>
      </c>
    </row>
    <row r="43" ht="44" customHeight="1">
      <c r="A43" s="93" t="n">
        <v>28</v>
      </c>
      <c r="B43" s="94" t="inlineStr">
        <is>
          <t>1.02</t>
        </is>
      </c>
      <c r="C43" s="85" t="inlineStr">
        <is>
          <t>LGED</t>
        </is>
      </c>
      <c r="D43" s="94" t="inlineStr">
        <is>
          <t>Electrical</t>
        </is>
      </c>
      <c r="E43" s="95" t="inlineStr">
        <is>
          <t>Project Profile Signboard: Providing and fixing of typical project profile signboard</t>
        </is>
      </c>
      <c r="F43" s="96" t="inlineStr">
        <is>
          <t>sqm</t>
        </is>
      </c>
      <c r="G43" s="97" t="n">
        <v>4.32</v>
      </c>
      <c r="H43" s="98" t="n">
        <v>16755.53</v>
      </c>
      <c r="I43" s="99" t="n">
        <v>72383.88959999999</v>
      </c>
      <c r="J43" s="98" t="n">
        <v>16755.53</v>
      </c>
      <c r="K43" s="99" t="n">
        <v>72383.88959999999</v>
      </c>
      <c r="L43" s="100" t="n">
        <v>0</v>
      </c>
      <c r="M43" s="101" t="n">
        <v>0</v>
      </c>
      <c r="N43" s="30" t="inlineStr">
        <is>
          <t>AT SOR</t>
        </is>
      </c>
    </row>
    <row r="44" ht="16" customHeight="1">
      <c r="A44" s="15" t="inlineStr">
        <is>
          <t>▶  FINISHING</t>
        </is>
      </c>
    </row>
    <row r="45" ht="25" customHeight="1">
      <c r="A45" s="83" t="n">
        <v>29</v>
      </c>
      <c r="B45" s="84" t="inlineStr">
        <is>
          <t>04-3(PWD)</t>
        </is>
      </c>
      <c r="C45" s="27" t="inlineStr">
        <is>
          <t>PWD</t>
        </is>
      </c>
      <c r="D45" s="84" t="inlineStr">
        <is>
          <t>Finishing</t>
        </is>
      </c>
      <c r="E45" s="86" t="inlineStr">
        <is>
          <t>Brick works with first class bricks</t>
        </is>
      </c>
      <c r="F45" s="87" t="inlineStr">
        <is>
          <t>cum</t>
        </is>
      </c>
      <c r="G45" s="88" t="n">
        <v>3.51</v>
      </c>
      <c r="H45" s="89" t="n">
        <v>9657</v>
      </c>
      <c r="I45" s="90" t="n">
        <v>33896.07</v>
      </c>
      <c r="J45" s="89" t="n">
        <v>9657</v>
      </c>
      <c r="K45" s="90" t="n">
        <v>33896.07</v>
      </c>
      <c r="L45" s="91" t="n">
        <v>0</v>
      </c>
      <c r="M45" s="92" t="n">
        <v>0</v>
      </c>
      <c r="N45" s="30" t="inlineStr">
        <is>
          <t>AT SOR</t>
        </is>
      </c>
    </row>
    <row r="46" ht="44" customHeight="1">
      <c r="A46" s="83" t="n">
        <v>30</v>
      </c>
      <c r="B46" s="84" t="inlineStr">
        <is>
          <t>06-4-1</t>
        </is>
      </c>
      <c r="C46" s="27" t="inlineStr">
        <is>
          <t>PWD</t>
        </is>
      </c>
      <c r="D46" s="84" t="inlineStr">
        <is>
          <t>Finishing</t>
        </is>
      </c>
      <c r="E46" s="86" t="inlineStr">
        <is>
          <t>Supplying, fitting and fixing foreign made polished pocelain/ mirror polished homogeneous floor tiles</t>
        </is>
      </c>
      <c r="F46" s="87" t="inlineStr">
        <is>
          <t>sqm</t>
        </is>
      </c>
      <c r="G46" s="88" t="n">
        <v>25.45</v>
      </c>
      <c r="H46" s="89" t="n">
        <v>2562</v>
      </c>
      <c r="I46" s="90" t="n">
        <v>65202.9</v>
      </c>
      <c r="J46" s="89" t="n">
        <v>2562</v>
      </c>
      <c r="K46" s="90" t="n">
        <v>65202.9</v>
      </c>
      <c r="L46" s="91" t="n">
        <v>0</v>
      </c>
      <c r="M46" s="92" t="n">
        <v>0</v>
      </c>
      <c r="N46" s="30" t="inlineStr">
        <is>
          <t>AT SOR</t>
        </is>
      </c>
    </row>
    <row r="47" ht="32" customHeight="1">
      <c r="A47" s="83" t="n">
        <v>31</v>
      </c>
      <c r="B47" s="84" t="inlineStr">
        <is>
          <t>06-6-1</t>
        </is>
      </c>
      <c r="C47" s="27" t="inlineStr">
        <is>
          <t>PWD</t>
        </is>
      </c>
      <c r="D47" s="84" t="inlineStr">
        <is>
          <t>Finishing</t>
        </is>
      </c>
      <c r="E47" s="86" t="inlineStr">
        <is>
          <t>Supplying, fitting and fixing country made glazed wall tiles</t>
        </is>
      </c>
      <c r="F47" s="87" t="inlineStr">
        <is>
          <t>sqm</t>
        </is>
      </c>
      <c r="G47" s="88" t="n">
        <v>19.91</v>
      </c>
      <c r="H47" s="89" t="n">
        <v>1311</v>
      </c>
      <c r="I47" s="90" t="n">
        <v>26102.01</v>
      </c>
      <c r="J47" s="89" t="n">
        <v>1311</v>
      </c>
      <c r="K47" s="90" t="n">
        <v>26102.01</v>
      </c>
      <c r="L47" s="91" t="n">
        <v>0</v>
      </c>
      <c r="M47" s="92" t="n">
        <v>0</v>
      </c>
      <c r="N47" s="30" t="inlineStr">
        <is>
          <t>AT SOR</t>
        </is>
      </c>
    </row>
    <row r="48" ht="32" customHeight="1">
      <c r="A48" s="83" t="n">
        <v>32</v>
      </c>
      <c r="B48" s="84" t="inlineStr">
        <is>
          <t>16-1-1(PWD</t>
        </is>
      </c>
      <c r="C48" s="27" t="inlineStr">
        <is>
          <t>PWD</t>
        </is>
      </c>
      <c r="D48" s="84" t="inlineStr">
        <is>
          <t>Finishing</t>
        </is>
      </c>
      <c r="E48" s="86" t="inlineStr">
        <is>
          <t>Exterior standard acrylic emulsion paint</t>
        </is>
      </c>
      <c r="F48" s="87" t="inlineStr">
        <is>
          <t>sqm</t>
        </is>
      </c>
      <c r="G48" s="88" t="n">
        <v>662.8099999999999</v>
      </c>
      <c r="H48" s="89" t="n">
        <v>261</v>
      </c>
      <c r="I48" s="90" t="n">
        <v>172993.41</v>
      </c>
      <c r="J48" s="89" t="n">
        <v>261</v>
      </c>
      <c r="K48" s="90" t="n">
        <v>172993.41</v>
      </c>
      <c r="L48" s="91" t="n">
        <v>0</v>
      </c>
      <c r="M48" s="92" t="n">
        <v>0</v>
      </c>
      <c r="N48" s="30" t="inlineStr">
        <is>
          <t>AT SOR</t>
        </is>
      </c>
    </row>
    <row r="49" ht="32" customHeight="1">
      <c r="A49" s="83" t="n">
        <v>33</v>
      </c>
      <c r="B49" s="84" t="inlineStr">
        <is>
          <t>15-1-1(PWD)</t>
        </is>
      </c>
      <c r="C49" s="27" t="inlineStr">
        <is>
          <t>PWD</t>
        </is>
      </c>
      <c r="D49" s="84" t="inlineStr">
        <is>
          <t>Finishing</t>
        </is>
      </c>
      <c r="E49" s="86" t="inlineStr">
        <is>
          <t>Minimum 12 mm thick cement sand (F.M. 1.2) plaster</t>
        </is>
      </c>
      <c r="F49" s="87" t="inlineStr">
        <is>
          <t>sqm</t>
        </is>
      </c>
      <c r="G49" s="88" t="n">
        <v>9.050000000000001</v>
      </c>
      <c r="H49" s="89" t="n">
        <v>297</v>
      </c>
      <c r="I49" s="90" t="n">
        <v>2687.85</v>
      </c>
      <c r="J49" s="89" t="n">
        <v>297</v>
      </c>
      <c r="K49" s="90" t="n">
        <v>2687.85</v>
      </c>
      <c r="L49" s="91" t="n">
        <v>0</v>
      </c>
      <c r="M49" s="92" t="n">
        <v>0</v>
      </c>
      <c r="N49" s="30" t="inlineStr">
        <is>
          <t>AT SOR</t>
        </is>
      </c>
    </row>
    <row r="50" ht="16" customHeight="1">
      <c r="A50" s="15" t="inlineStr">
        <is>
          <t>▶  OTHER</t>
        </is>
      </c>
    </row>
    <row r="51" ht="32" customHeight="1">
      <c r="A51" s="102" t="n">
        <v>34</v>
      </c>
      <c r="B51" s="103" t="inlineStr">
        <is>
          <t>03.1.1(PWD)</t>
        </is>
      </c>
      <c r="C51" s="27" t="inlineStr">
        <is>
          <t>PWD</t>
        </is>
      </c>
      <c r="D51" s="103" t="inlineStr">
        <is>
          <t>Other</t>
        </is>
      </c>
      <c r="E51" s="104" t="inlineStr">
        <is>
          <t>One layer brick flat soling in foundation</t>
        </is>
      </c>
      <c r="F51" s="105" t="inlineStr">
        <is>
          <t>sqm</t>
        </is>
      </c>
      <c r="G51" s="106" t="n">
        <v>9.050000000000001</v>
      </c>
      <c r="H51" s="107" t="n">
        <v>607</v>
      </c>
      <c r="I51" s="108" t="n">
        <v>5493.35</v>
      </c>
      <c r="J51" s="107" t="n">
        <v>607</v>
      </c>
      <c r="K51" s="108" t="n">
        <v>5493.35</v>
      </c>
      <c r="L51" s="109" t="n">
        <v>0</v>
      </c>
      <c r="M51" s="110" t="n">
        <v>0</v>
      </c>
      <c r="N51" s="30" t="inlineStr">
        <is>
          <t>AT SOR</t>
        </is>
      </c>
    </row>
    <row r="52" ht="16" customHeight="1">
      <c r="A52" s="15" t="inlineStr">
        <is>
          <t>▶  ELECTRICAL</t>
        </is>
      </c>
    </row>
    <row r="53" ht="44" customHeight="1">
      <c r="A53" s="93" t="n">
        <v>35</v>
      </c>
      <c r="B53" s="94" t="inlineStr">
        <is>
          <t>PWD EM-1.18.1.1.1</t>
        </is>
      </c>
      <c r="C53" s="27" t="inlineStr">
        <is>
          <t>PWD</t>
        </is>
      </c>
      <c r="D53" s="94" t="inlineStr">
        <is>
          <t>Electrical</t>
        </is>
      </c>
      <c r="E53" s="95" t="inlineStr">
        <is>
          <t>Providing &amp; laying of the following PVC insulated &amp; sheathed cable (NYY) / (XLPE) insulated &amp; PVC sheathed cable</t>
        </is>
      </c>
      <c r="F53" s="96" t="inlineStr">
        <is>
          <t>m</t>
        </is>
      </c>
      <c r="G53" s="97" t="n">
        <v>24</v>
      </c>
      <c r="H53" s="98" t="n">
        <v>450</v>
      </c>
      <c r="I53" s="99" t="n">
        <v>10800</v>
      </c>
      <c r="J53" s="98" t="n">
        <v>450</v>
      </c>
      <c r="K53" s="99" t="n">
        <v>10800</v>
      </c>
      <c r="L53" s="100" t="n">
        <v>0</v>
      </c>
      <c r="M53" s="101" t="n">
        <v>0</v>
      </c>
      <c r="N53" s="30" t="inlineStr">
        <is>
          <t>AT SOR</t>
        </is>
      </c>
    </row>
    <row r="54" ht="60" customHeight="1">
      <c r="A54" s="93" t="n">
        <v>36</v>
      </c>
      <c r="B54" s="94" t="inlineStr">
        <is>
          <t>PWD EM12.1</t>
        </is>
      </c>
      <c r="C54" s="27" t="inlineStr">
        <is>
          <t>PWD</t>
        </is>
      </c>
      <c r="D54" s="94" t="inlineStr">
        <is>
          <t>Electrical</t>
        </is>
      </c>
      <c r="E54" s="95" t="inlineStr">
        <is>
          <t>Supplying. installation, testing &amp; commissioning of following capacity solar system (offgrid) for 2 Hrs backup with required quantities of mono /poly crystalline silicon solar PV modules,S</t>
        </is>
      </c>
      <c r="F54" s="96" t="inlineStr">
        <is>
          <t>KWp</t>
        </is>
      </c>
      <c r="G54" s="97" t="n">
        <v>3</v>
      </c>
      <c r="H54" s="98" t="n">
        <v>176910</v>
      </c>
      <c r="I54" s="99" t="n">
        <v>530730</v>
      </c>
      <c r="J54" s="98" t="n">
        <v>176910</v>
      </c>
      <c r="K54" s="99" t="n">
        <v>530730</v>
      </c>
      <c r="L54" s="100" t="n">
        <v>0</v>
      </c>
      <c r="M54" s="101" t="n">
        <v>0</v>
      </c>
      <c r="N54" s="30" t="inlineStr">
        <is>
          <t>AT SOR</t>
        </is>
      </c>
    </row>
    <row r="55" ht="44" customHeight="1">
      <c r="A55" s="93" t="n">
        <v>37</v>
      </c>
      <c r="B55" s="94" t="inlineStr">
        <is>
          <t>PWD EM-6.8.3.1.1</t>
        </is>
      </c>
      <c r="C55" s="27" t="inlineStr">
        <is>
          <t>PWD</t>
        </is>
      </c>
      <c r="D55" s="94" t="inlineStr">
        <is>
          <t>Electrical</t>
        </is>
      </c>
      <c r="E55" s="95" t="inlineStr">
        <is>
          <t>STREET LIGHT FITTINGS (LED) Supply &amp; fixing LED street light fittings of following specifications:</t>
        </is>
      </c>
      <c r="F55" s="96" t="inlineStr">
        <is>
          <t>Each</t>
        </is>
      </c>
      <c r="G55" s="97" t="n">
        <v>3</v>
      </c>
      <c r="H55" s="98" t="n">
        <v>9225</v>
      </c>
      <c r="I55" s="99" t="n">
        <v>27675</v>
      </c>
      <c r="J55" s="98" t="n">
        <v>9225</v>
      </c>
      <c r="K55" s="99" t="n">
        <v>27675</v>
      </c>
      <c r="L55" s="100" t="n">
        <v>0</v>
      </c>
      <c r="M55" s="101" t="n">
        <v>0</v>
      </c>
      <c r="N55" s="30" t="inlineStr">
        <is>
          <t>AT SOR</t>
        </is>
      </c>
    </row>
    <row r="56" ht="32" customHeight="1">
      <c r="A56" s="93" t="n">
        <v>38</v>
      </c>
      <c r="B56" s="94" t="inlineStr">
        <is>
          <t>PWD EM3.2.4</t>
        </is>
      </c>
      <c r="C56" s="27" t="inlineStr">
        <is>
          <t>PWD</t>
        </is>
      </c>
      <c r="D56" s="94" t="inlineStr">
        <is>
          <t>Electrical</t>
        </is>
      </c>
      <c r="E56" s="95" t="inlineStr">
        <is>
          <t>G. I. POLE Providing following seamless Cl pole</t>
        </is>
      </c>
      <c r="F56" s="96" t="inlineStr">
        <is>
          <t>Each</t>
        </is>
      </c>
      <c r="G56" s="97" t="n">
        <v>3</v>
      </c>
      <c r="H56" s="98" t="n">
        <v>16550</v>
      </c>
      <c r="I56" s="99" t="n">
        <v>49650</v>
      </c>
      <c r="J56" s="98" t="n">
        <v>16550</v>
      </c>
      <c r="K56" s="99" t="n">
        <v>49650</v>
      </c>
      <c r="L56" s="100" t="n">
        <v>0</v>
      </c>
      <c r="M56" s="101" t="n">
        <v>0</v>
      </c>
      <c r="N56" s="30" t="inlineStr">
        <is>
          <t>AT SOR</t>
        </is>
      </c>
    </row>
    <row r="57" ht="56" customHeight="1">
      <c r="A57" s="93" t="n">
        <v>39</v>
      </c>
      <c r="B57" s="94" t="inlineStr">
        <is>
          <t>PWD EM3.10.1</t>
        </is>
      </c>
      <c r="C57" s="27" t="inlineStr">
        <is>
          <t>PWD</t>
        </is>
      </c>
      <c r="D57" s="94" t="inlineStr">
        <is>
          <t>Electrical</t>
        </is>
      </c>
      <c r="E57" s="95" t="inlineStr">
        <is>
          <t>STAY Providing and fixing following pole stay made of stranded Gl. wires complete with anchor plate of size 304.8 mm x 304.8 mm x 6.35 mm</t>
        </is>
      </c>
      <c r="F57" s="96" t="inlineStr">
        <is>
          <t>Each</t>
        </is>
      </c>
      <c r="G57" s="97" t="n">
        <v>3</v>
      </c>
      <c r="H57" s="98" t="n">
        <v>1841</v>
      </c>
      <c r="I57" s="99" t="n">
        <v>5523</v>
      </c>
      <c r="J57" s="98" t="n">
        <v>1841</v>
      </c>
      <c r="K57" s="99" t="n">
        <v>5523</v>
      </c>
      <c r="L57" s="100" t="n">
        <v>0</v>
      </c>
      <c r="M57" s="101" t="n">
        <v>0</v>
      </c>
      <c r="N57" s="30" t="inlineStr">
        <is>
          <t>AT SOR</t>
        </is>
      </c>
    </row>
    <row r="58" ht="60" customHeight="1">
      <c r="A58" s="93" t="n">
        <v>40</v>
      </c>
      <c r="B58" s="94" t="inlineStr">
        <is>
          <t>PWD EM3.17.1</t>
        </is>
      </c>
      <c r="C58" s="27" t="inlineStr">
        <is>
          <t>PWD</t>
        </is>
      </c>
      <c r="D58" s="94" t="inlineStr">
        <is>
          <t>Electrical</t>
        </is>
      </c>
      <c r="E58" s="95" t="inlineStr">
        <is>
          <t>SERVICE BRACKET Providing and fixing of 1524 mm (5') long 25.40 mm (1,') dia Gt. Pipe service bracket complete with I no. of Gl bend 2 nos. fixing clamps of 38.l0 mm x 6.35 mm (I.5''x1/4'') size iron flat bar bolts. nuts etc. complete as required</t>
        </is>
      </c>
      <c r="F58" s="96" t="inlineStr">
        <is>
          <t>Each</t>
        </is>
      </c>
      <c r="G58" s="97" t="n">
        <v>3</v>
      </c>
      <c r="H58" s="98" t="n">
        <v>1201</v>
      </c>
      <c r="I58" s="99" t="n">
        <v>3603</v>
      </c>
      <c r="J58" s="98" t="n">
        <v>1201</v>
      </c>
      <c r="K58" s="99" t="n">
        <v>3603</v>
      </c>
      <c r="L58" s="100" t="n">
        <v>0</v>
      </c>
      <c r="M58" s="101" t="n">
        <v>0</v>
      </c>
      <c r="N58" s="30" t="inlineStr">
        <is>
          <t>AT SOR</t>
        </is>
      </c>
    </row>
    <row r="59" ht="44" customHeight="1">
      <c r="A59" s="93" t="n">
        <v>41</v>
      </c>
      <c r="B59" s="94" t="inlineStr">
        <is>
          <t>PWD EM4.9.2</t>
        </is>
      </c>
      <c r="C59" s="27" t="inlineStr">
        <is>
          <t>PWD</t>
        </is>
      </c>
      <c r="D59" s="94" t="inlineStr">
        <is>
          <t>Electrical</t>
        </is>
      </c>
      <c r="E59" s="95" t="inlineStr">
        <is>
          <t>BOARD Supplying and fixing of almirah type 18 SWG metal board of depth 228mm (6'') duly painted</t>
        </is>
      </c>
      <c r="F59" s="96" t="inlineStr">
        <is>
          <t>Each</t>
        </is>
      </c>
      <c r="G59" s="97" t="n">
        <v>3</v>
      </c>
      <c r="H59" s="98" t="n">
        <v>17547</v>
      </c>
      <c r="I59" s="99" t="n">
        <v>52641</v>
      </c>
      <c r="J59" s="98" t="n">
        <v>17547</v>
      </c>
      <c r="K59" s="99" t="n">
        <v>52641</v>
      </c>
      <c r="L59" s="100" t="n">
        <v>0</v>
      </c>
      <c r="M59" s="101" t="n">
        <v>0</v>
      </c>
      <c r="N59" s="30" t="inlineStr">
        <is>
          <t>AT SOR</t>
        </is>
      </c>
    </row>
    <row r="60" ht="60" customHeight="1">
      <c r="A60" s="93" t="n">
        <v>42</v>
      </c>
      <c r="B60" s="94" t="inlineStr">
        <is>
          <t>PWD EM-4.4.1.1</t>
        </is>
      </c>
      <c r="C60" s="27" t="inlineStr">
        <is>
          <t>PWD</t>
        </is>
      </c>
      <c r="D60" s="94" t="inlineStr">
        <is>
          <t>Electrical</t>
        </is>
      </c>
      <c r="E60" s="95" t="inlineStr">
        <is>
          <t>CIRCUlT BREAKER (SPMCI]) Providing &amp; fixing on a prepared board 250 yolt grade following single pole miniature circuil breaker (SpMCBs) having minimum breaking capacity 6-KA / I0 KA with thermal over-current and instantaneous electromagnetic short circuit release provision as per BDS IEC and IEC /VDE / NEMA / BS / JIS standard. SPMCBs accepted / approved by the Ergireer-in-charge. 5 - .{0 Amps (minimum 6 KA) MCB</t>
        </is>
      </c>
      <c r="F60" s="96" t="inlineStr">
        <is>
          <t>Each</t>
        </is>
      </c>
      <c r="G60" s="97" t="n">
        <v>3</v>
      </c>
      <c r="H60" s="98" t="n">
        <v>779</v>
      </c>
      <c r="I60" s="99" t="n">
        <v>2337</v>
      </c>
      <c r="J60" s="98" t="n">
        <v>779</v>
      </c>
      <c r="K60" s="99" t="n">
        <v>2337</v>
      </c>
      <c r="L60" s="100" t="n">
        <v>0</v>
      </c>
      <c r="M60" s="101" t="n">
        <v>0</v>
      </c>
      <c r="N60" s="30" t="inlineStr">
        <is>
          <t>AT SOR</t>
        </is>
      </c>
    </row>
    <row r="61" ht="56" customHeight="1">
      <c r="A61" s="93" t="n">
        <v>43</v>
      </c>
      <c r="B61" s="94" t="inlineStr">
        <is>
          <t>PWD EM4.19.1</t>
        </is>
      </c>
      <c r="C61" s="27" t="inlineStr">
        <is>
          <t>PWD</t>
        </is>
      </c>
      <c r="D61" s="94" t="inlineStr">
        <is>
          <t>Electrical</t>
        </is>
      </c>
      <c r="E61" s="95" t="inlineStr">
        <is>
          <t>EARTHING Earthing the electrical installation with 40 mm ( 1.5'') dia c.l. pipe (earth electrode) having 6.35 mm. dia hole</t>
        </is>
      </c>
      <c r="F61" s="96" t="inlineStr">
        <is>
          <t>Each</t>
        </is>
      </c>
      <c r="G61" s="97" t="n">
        <v>3</v>
      </c>
      <c r="H61" s="98" t="n">
        <v>24786</v>
      </c>
      <c r="I61" s="99" t="n">
        <v>74358</v>
      </c>
      <c r="J61" s="98" t="n">
        <v>24786</v>
      </c>
      <c r="K61" s="99" t="n">
        <v>74358</v>
      </c>
      <c r="L61" s="100" t="n">
        <v>0</v>
      </c>
      <c r="M61" s="101" t="n">
        <v>0</v>
      </c>
      <c r="N61" s="30" t="inlineStr">
        <is>
          <t>AT SOR</t>
        </is>
      </c>
    </row>
    <row r="62" ht="16" customHeight="1">
      <c r="A62" s="15" t="inlineStr">
        <is>
          <t>▶  STRUCTURAL CONCRETE</t>
        </is>
      </c>
    </row>
    <row r="63" ht="32" customHeight="1">
      <c r="A63" s="74" t="n">
        <v>44</v>
      </c>
      <c r="B63" s="75" t="inlineStr">
        <is>
          <t>03.5.1(PWD)</t>
        </is>
      </c>
      <c r="C63" s="27" t="inlineStr">
        <is>
          <t>PWD</t>
        </is>
      </c>
      <c r="D63" s="75" t="inlineStr">
        <is>
          <t>Structural Concrete</t>
        </is>
      </c>
      <c r="E63" s="76" t="inlineStr">
        <is>
          <t>Mass concrete (1:2:4) in foundation or in floor with cement</t>
        </is>
      </c>
      <c r="F63" s="77" t="inlineStr">
        <is>
          <t>cum</t>
        </is>
      </c>
      <c r="G63" s="78" t="n">
        <v>1.79</v>
      </c>
      <c r="H63" s="79" t="n">
        <v>10224</v>
      </c>
      <c r="I63" s="80" t="n">
        <v>18300.96</v>
      </c>
      <c r="J63" s="79" t="n">
        <v>10224</v>
      </c>
      <c r="K63" s="80" t="n">
        <v>18300.96</v>
      </c>
      <c r="L63" s="81" t="n">
        <v>0</v>
      </c>
      <c r="M63" s="82" t="n">
        <v>0</v>
      </c>
      <c r="N63" s="30" t="inlineStr">
        <is>
          <t>AT SOR</t>
        </is>
      </c>
    </row>
    <row r="64" ht="16" customHeight="1">
      <c r="A64" s="15" t="inlineStr">
        <is>
          <t>▶  LABOUR</t>
        </is>
      </c>
    </row>
    <row r="65" ht="25" customHeight="1">
      <c r="A65" s="111" t="n">
        <v>45</v>
      </c>
      <c r="B65" s="112" t="inlineStr">
        <is>
          <t>80-305</t>
        </is>
      </c>
      <c r="C65" s="18" t="inlineStr">
        <is>
          <t>BWDB</t>
        </is>
      </c>
      <c r="D65" s="112" t="inlineStr">
        <is>
          <t>Labour</t>
        </is>
      </c>
      <c r="E65" s="113" t="inlineStr">
        <is>
          <t>Head Man</t>
        </is>
      </c>
      <c r="F65" s="114" t="inlineStr">
        <is>
          <t>Day</t>
        </is>
      </c>
      <c r="G65" s="115" t="n">
        <v>18</v>
      </c>
      <c r="H65" s="116" t="n">
        <v>800</v>
      </c>
      <c r="I65" s="117" t="n">
        <v>14400</v>
      </c>
      <c r="J65" s="116" t="n">
        <v>800</v>
      </c>
      <c r="K65" s="117" t="n">
        <v>14400</v>
      </c>
      <c r="L65" s="118" t="n">
        <v>0</v>
      </c>
      <c r="M65" s="119" t="n">
        <v>0</v>
      </c>
      <c r="N65" s="30" t="inlineStr">
        <is>
          <t>AT SOR</t>
        </is>
      </c>
    </row>
    <row r="66" ht="25" customHeight="1">
      <c r="A66" s="111" t="n">
        <v>46</v>
      </c>
      <c r="B66" s="112" t="inlineStr">
        <is>
          <t>80-370</t>
        </is>
      </c>
      <c r="C66" s="18" t="inlineStr">
        <is>
          <t>BWDB</t>
        </is>
      </c>
      <c r="D66" s="112" t="inlineStr">
        <is>
          <t>Labour</t>
        </is>
      </c>
      <c r="E66" s="113" t="inlineStr">
        <is>
          <t>Labour-Skilled</t>
        </is>
      </c>
      <c r="F66" s="114" t="inlineStr">
        <is>
          <t>Day</t>
        </is>
      </c>
      <c r="G66" s="115" t="n">
        <v>180</v>
      </c>
      <c r="H66" s="116" t="n">
        <v>600</v>
      </c>
      <c r="I66" s="117" t="n">
        <v>108000</v>
      </c>
      <c r="J66" s="116" t="n">
        <v>600</v>
      </c>
      <c r="K66" s="117" t="n">
        <v>108000</v>
      </c>
      <c r="L66" s="118" t="n">
        <v>0</v>
      </c>
      <c r="M66" s="119" t="n">
        <v>0</v>
      </c>
      <c r="N66" s="30" t="inlineStr">
        <is>
          <t>AT SOR</t>
        </is>
      </c>
    </row>
    <row r="67" ht="25" customHeight="1">
      <c r="A67" s="111" t="n">
        <v>47</v>
      </c>
      <c r="B67" s="112" t="inlineStr">
        <is>
          <t>80-375</t>
        </is>
      </c>
      <c r="C67" s="18" t="inlineStr">
        <is>
          <t>BWDB</t>
        </is>
      </c>
      <c r="D67" s="112" t="inlineStr">
        <is>
          <t>Labour</t>
        </is>
      </c>
      <c r="E67" s="113" t="inlineStr">
        <is>
          <t>Labour-unskilled</t>
        </is>
      </c>
      <c r="F67" s="114" t="inlineStr">
        <is>
          <t>Day</t>
        </is>
      </c>
      <c r="G67" s="115" t="n">
        <v>180</v>
      </c>
      <c r="H67" s="116" t="n">
        <v>540</v>
      </c>
      <c r="I67" s="117" t="n">
        <v>97200</v>
      </c>
      <c r="J67" s="116" t="n">
        <v>540</v>
      </c>
      <c r="K67" s="117" t="n">
        <v>97200</v>
      </c>
      <c r="L67" s="118" t="n">
        <v>0</v>
      </c>
      <c r="M67" s="119" t="n">
        <v>0</v>
      </c>
      <c r="N67" s="30" t="inlineStr">
        <is>
          <t>AT SOR</t>
        </is>
      </c>
    </row>
    <row r="68" ht="20" customHeight="1">
      <c r="A68" s="120" t="inlineStr">
        <is>
          <t>GRAND TOTAL</t>
        </is>
      </c>
      <c r="I68" s="121" t="n">
        <v>241865221.7683</v>
      </c>
      <c r="J68" s="120" t="inlineStr"/>
      <c r="K68" s="121" t="n">
        <v>236856068.84969</v>
      </c>
      <c r="L68" s="121" t="n">
        <v>-5009152.918610007</v>
      </c>
      <c r="M68" s="122" t="n">
        <v>-0.02071051340902841</v>
      </c>
    </row>
  </sheetData>
  <mergeCells count="20">
    <mergeCell ref="A40:N40"/>
    <mergeCell ref="A15:N15"/>
    <mergeCell ref="A64:N64"/>
    <mergeCell ref="A11:N11"/>
    <mergeCell ref="A1:N1"/>
    <mergeCell ref="A7:N7"/>
    <mergeCell ref="A18:N18"/>
    <mergeCell ref="A50:N50"/>
    <mergeCell ref="A2:N2"/>
    <mergeCell ref="A33:N33"/>
    <mergeCell ref="A42:N42"/>
    <mergeCell ref="A23:N23"/>
    <mergeCell ref="A35:N35"/>
    <mergeCell ref="A4:N4"/>
    <mergeCell ref="A62:N62"/>
    <mergeCell ref="A52:N52"/>
    <mergeCell ref="A68:H68"/>
    <mergeCell ref="A28:N28"/>
    <mergeCell ref="A13:N13"/>
    <mergeCell ref="A44:N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26" customWidth="1" min="1" max="1"/>
    <col width="7" customWidth="1" min="2" max="2"/>
    <col width="20" customWidth="1" min="3" max="3"/>
    <col width="20" customWidth="1" min="4" max="4"/>
    <col width="18" customWidth="1" min="5" max="5"/>
    <col width="12" customWidth="1" min="6" max="6"/>
    <col width="16" customWidth="1" min="7" max="7"/>
  </cols>
  <sheetData>
    <row r="1" ht="26" customHeight="1">
      <c r="A1" s="12" t="inlineStr">
        <is>
          <t>WORK TYPE — COST SUMMARY &amp; BREAKDOWN — Tender 1264860</t>
        </is>
      </c>
    </row>
    <row r="2" ht="18" customHeight="1">
      <c r="A2" s="14" t="inlineStr">
        <is>
          <t>Work Type</t>
        </is>
      </c>
      <c r="B2" s="14" t="inlineStr">
        <is>
          <t>Items</t>
        </is>
      </c>
      <c r="C2" s="14" t="inlineStr">
        <is>
          <t>SOR Amount (BDT)</t>
        </is>
      </c>
      <c r="D2" s="14" t="inlineStr">
        <is>
          <t>Quoted Amount (BDT)</t>
        </is>
      </c>
      <c r="E2" s="14" t="inlineStr">
        <is>
          <t>Saving (BDT)</t>
        </is>
      </c>
      <c r="F2" s="14" t="inlineStr">
        <is>
          <t>Discount (%)</t>
        </is>
      </c>
      <c r="G2" s="14" t="inlineStr">
        <is>
          <t>% of Quoted Total</t>
        </is>
      </c>
    </row>
    <row r="3" ht="18" customHeight="1">
      <c r="A3" s="123" t="inlineStr">
        <is>
          <t>CC Blocks &amp; Dumping</t>
        </is>
      </c>
      <c r="B3" s="61" t="n">
        <v>8</v>
      </c>
      <c r="C3" s="124" t="n">
        <v>190111596.2434</v>
      </c>
      <c r="D3" s="124" t="n">
        <v>186793043.80272</v>
      </c>
      <c r="E3" s="124" t="n">
        <v>3318552.440679997</v>
      </c>
      <c r="F3" s="125" t="n">
        <v>0.01745581282917246</v>
      </c>
      <c r="G3" s="126" t="n">
        <v>0.7886352446441209</v>
      </c>
    </row>
    <row r="4" ht="18" customHeight="1">
      <c r="A4" s="127" t="inlineStr">
        <is>
          <t>Geo-Bags / Geotextile</t>
        </is>
      </c>
      <c r="B4" s="52" t="n">
        <v>5</v>
      </c>
      <c r="C4" s="128" t="n">
        <v>44840236.93759999</v>
      </c>
      <c r="D4" s="128" t="n">
        <v>44270447.63807999</v>
      </c>
      <c r="E4" s="128" t="n">
        <v>569789.2995200008</v>
      </c>
      <c r="F4" s="129" t="n">
        <v>0.01270709832137872</v>
      </c>
      <c r="G4" s="130" t="n">
        <v>0.1869086481637683</v>
      </c>
    </row>
    <row r="5" ht="18" customHeight="1">
      <c r="A5" s="131" t="inlineStr">
        <is>
          <t>Preliminaries</t>
        </is>
      </c>
      <c r="B5" s="20" t="n">
        <v>2</v>
      </c>
      <c r="C5" s="132" t="n">
        <v>2054570</v>
      </c>
      <c r="D5" s="132" t="n">
        <v>1584338</v>
      </c>
      <c r="E5" s="132" t="n">
        <v>470232</v>
      </c>
      <c r="F5" s="133" t="n">
        <v>0.2288712479983646</v>
      </c>
      <c r="G5" s="134" t="n">
        <v>0.006689032743363771</v>
      </c>
    </row>
    <row r="6" ht="18" customHeight="1">
      <c r="A6" s="135" t="inlineStr">
        <is>
          <t>Earthwork</t>
        </is>
      </c>
      <c r="B6" s="34" t="n">
        <v>4</v>
      </c>
      <c r="C6" s="136" t="n">
        <v>1770410.9683</v>
      </c>
      <c r="D6" s="136" t="n">
        <v>1417633.86464</v>
      </c>
      <c r="E6" s="136" t="n">
        <v>352777.10366</v>
      </c>
      <c r="F6" s="137" t="n">
        <v>0.1992628321766142</v>
      </c>
      <c r="G6" s="138" t="n">
        <v>0.005985212333907464</v>
      </c>
    </row>
    <row r="7" ht="18" customHeight="1">
      <c r="A7" s="139" t="inlineStr">
        <is>
          <t>Filter Works</t>
        </is>
      </c>
      <c r="B7" s="43" t="n">
        <v>3</v>
      </c>
      <c r="C7" s="140" t="n">
        <v>1423933.323</v>
      </c>
      <c r="D7" s="140" t="n">
        <v>1126131.24825</v>
      </c>
      <c r="E7" s="140" t="n">
        <v>297802.0747499999</v>
      </c>
      <c r="F7" s="141" t="n">
        <v>0.2091404632083323</v>
      </c>
      <c r="G7" s="142" t="n">
        <v>0.004754496068938172</v>
      </c>
    </row>
    <row r="8" ht="18" customHeight="1">
      <c r="A8" s="143" t="inlineStr">
        <is>
          <t>Electrical</t>
        </is>
      </c>
      <c r="B8" s="96" t="n">
        <v>10</v>
      </c>
      <c r="C8" s="144" t="n">
        <v>829700.8896</v>
      </c>
      <c r="D8" s="144" t="n">
        <v>829700.8896</v>
      </c>
      <c r="E8" s="144" t="n">
        <v>0</v>
      </c>
      <c r="F8" s="145" t="n">
        <v>0</v>
      </c>
      <c r="G8" s="146" t="n">
        <v>0.003502975007689299</v>
      </c>
    </row>
    <row r="9" ht="18" customHeight="1">
      <c r="A9" s="147" t="inlineStr">
        <is>
          <t>Structural Concrete</t>
        </is>
      </c>
      <c r="B9" s="77" t="n">
        <v>5</v>
      </c>
      <c r="C9" s="148" t="n">
        <v>306860.25</v>
      </c>
      <c r="D9" s="148" t="n">
        <v>306860.25</v>
      </c>
      <c r="E9" s="148" t="n">
        <v>0</v>
      </c>
      <c r="F9" s="149" t="n">
        <v>0</v>
      </c>
      <c r="G9" s="150" t="n">
        <v>0.001295555784110962</v>
      </c>
    </row>
    <row r="10" ht="18" customHeight="1">
      <c r="A10" s="151" t="inlineStr">
        <is>
          <t>Finishing</t>
        </is>
      </c>
      <c r="B10" s="87" t="n">
        <v>6</v>
      </c>
      <c r="C10" s="152" t="n">
        <v>302819.8063999999</v>
      </c>
      <c r="D10" s="152" t="n">
        <v>302819.8063999999</v>
      </c>
      <c r="E10" s="152" t="n">
        <v>0</v>
      </c>
      <c r="F10" s="153" t="n">
        <v>0</v>
      </c>
      <c r="G10" s="154" t="n">
        <v>0.001278497139088173</v>
      </c>
    </row>
    <row r="11" ht="18" customHeight="1">
      <c r="A11" s="155" t="inlineStr">
        <is>
          <t>Labour</t>
        </is>
      </c>
      <c r="B11" s="114" t="n">
        <v>3</v>
      </c>
      <c r="C11" s="156" t="n">
        <v>219600</v>
      </c>
      <c r="D11" s="156" t="n">
        <v>219600</v>
      </c>
      <c r="E11" s="156" t="n">
        <v>0</v>
      </c>
      <c r="F11" s="157" t="n">
        <v>0</v>
      </c>
      <c r="G11" s="158" t="n">
        <v>0.0009271453379535705</v>
      </c>
    </row>
    <row r="12" ht="18" customHeight="1">
      <c r="A12" s="159" t="inlineStr">
        <is>
          <t>Other</t>
        </is>
      </c>
      <c r="B12" s="105" t="n">
        <v>1</v>
      </c>
      <c r="C12" s="160" t="n">
        <v>5493.35</v>
      </c>
      <c r="D12" s="160" t="n">
        <v>5493.35</v>
      </c>
      <c r="E12" s="160" t="n">
        <v>0</v>
      </c>
      <c r="F12" s="161" t="n">
        <v>0</v>
      </c>
      <c r="G12" s="162" t="n">
        <v>2.319277705941369e-05</v>
      </c>
    </row>
    <row r="14" ht="20" customHeight="1">
      <c r="A14" s="163" t="inlineStr">
        <is>
          <t>TOTAL</t>
        </is>
      </c>
      <c r="B14" s="120" t="n">
        <v>47</v>
      </c>
      <c r="C14" s="164" t="n">
        <v>241865221.7683</v>
      </c>
      <c r="D14" s="164" t="n">
        <v>236856068.84969</v>
      </c>
      <c r="E14" s="164" t="n">
        <v>5009152.918610007</v>
      </c>
      <c r="F14" s="122" t="n">
        <v>-0.02071051340902841</v>
      </c>
      <c r="G14" s="165" t="n">
        <v>1</v>
      </c>
    </row>
  </sheetData>
  <mergeCells count="1">
    <mergeCell ref="A1:J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49"/>
  <sheetViews>
    <sheetView showGridLines="0" workbookViewId="0">
      <pane ySplit="2" topLeftCell="A3" activePane="bottomLeft" state="frozen"/>
      <selection pane="bottomLeft" activeCell="A1" sqref="A1"/>
    </sheetView>
  </sheetViews>
  <sheetFormatPr baseColWidth="8" defaultRowHeight="15"/>
  <cols>
    <col width="4" customWidth="1" min="1" max="1"/>
    <col width="10" customWidth="1" min="2" max="2"/>
    <col width="7" customWidth="1" min="3" max="3"/>
    <col width="48" customWidth="1" min="4" max="4"/>
    <col width="6" customWidth="1" min="5" max="5"/>
    <col width="10" customWidth="1" min="6" max="6"/>
    <col width="13" customWidth="1" min="7" max="7"/>
    <col width="13" customWidth="1" min="8" max="8"/>
    <col width="13" customWidth="1" min="9" max="9"/>
    <col width="15" customWidth="1" min="10" max="10"/>
    <col width="13" customWidth="1" min="11" max="11"/>
  </cols>
  <sheetData>
    <row r="1" ht="24" customHeight="1">
      <c r="A1" s="166" t="inlineStr">
        <is>
          <t>RATE DETAIL — FLAGGED ITEMS FOR REVIEW / NEGOTIATION</t>
        </is>
      </c>
    </row>
    <row r="2" ht="18" customHeight="1">
      <c r="A2" s="167" t="inlineStr">
        <is>
          <t>#</t>
        </is>
      </c>
      <c r="B2" s="167" t="inlineStr">
        <is>
          <t>Code</t>
        </is>
      </c>
      <c r="C2" s="167" t="inlineStr">
        <is>
          <t>Agency</t>
        </is>
      </c>
      <c r="D2" s="167" t="inlineStr">
        <is>
          <t>Description</t>
        </is>
      </c>
      <c r="E2" s="167" t="inlineStr">
        <is>
          <t>Unit</t>
        </is>
      </c>
      <c r="F2" s="167" t="inlineStr">
        <is>
          <t>Qty</t>
        </is>
      </c>
      <c r="G2" s="167" t="inlineStr">
        <is>
          <t>SOR Rate</t>
        </is>
      </c>
      <c r="H2" s="167" t="inlineStr">
        <is>
          <t>Quoted Rate</t>
        </is>
      </c>
      <c r="I2" s="167" t="inlineStr">
        <is>
          <t>Saving/Unit</t>
        </is>
      </c>
      <c r="J2" s="167" t="inlineStr">
        <is>
          <t>Total Saving</t>
        </is>
      </c>
      <c r="K2" s="167" t="inlineStr">
        <is>
          <t>Status</t>
        </is>
      </c>
    </row>
    <row r="3" ht="30" customHeight="1">
      <c r="A3" s="168" t="n">
        <v>1</v>
      </c>
      <c r="B3" s="169" t="inlineStr">
        <is>
          <t>04-180</t>
        </is>
      </c>
      <c r="C3" s="169" t="inlineStr">
        <is>
          <t>BWDB</t>
        </is>
      </c>
      <c r="D3" s="170" t="inlineStr">
        <is>
          <t>Preparation of Site by manually removing all miscellaneous objectionable materials</t>
        </is>
      </c>
      <c r="E3" s="169" t="inlineStr">
        <is>
          <t>sqm</t>
        </is>
      </c>
      <c r="F3" s="171" t="n">
        <v>36000</v>
      </c>
      <c r="G3" s="172" t="n">
        <v>43.54</v>
      </c>
      <c r="H3" s="172" t="n">
        <v>30.478</v>
      </c>
      <c r="I3" s="173" t="n">
        <v>13.062</v>
      </c>
      <c r="J3" s="173" t="n">
        <v>470232.0000000001</v>
      </c>
      <c r="K3" s="26" t="inlineStr">
        <is>
          <t>BELOW SOR</t>
        </is>
      </c>
    </row>
    <row r="4" ht="30" customHeight="1">
      <c r="A4" s="174" t="n">
        <v>2</v>
      </c>
      <c r="B4" s="175" t="inlineStr">
        <is>
          <t>01.1.3</t>
        </is>
      </c>
      <c r="C4" s="175" t="inlineStr">
        <is>
          <t>PWD</t>
        </is>
      </c>
      <c r="D4" s="176" t="inlineStr">
        <is>
          <t>Erection and maintenance of semi permanent site office</t>
        </is>
      </c>
      <c r="E4" s="175" t="inlineStr">
        <is>
          <t>Each</t>
        </is>
      </c>
      <c r="F4" s="177" t="n">
        <v>1</v>
      </c>
      <c r="G4" s="178" t="n">
        <v>487130</v>
      </c>
      <c r="H4" s="178" t="n">
        <v>487130</v>
      </c>
      <c r="I4" s="179" t="n">
        <v>0</v>
      </c>
      <c r="J4" s="179" t="n">
        <v>0</v>
      </c>
      <c r="K4" s="30" t="inlineStr">
        <is>
          <t>AT SOR</t>
        </is>
      </c>
    </row>
    <row r="5" ht="42" customHeight="1">
      <c r="A5" s="168" t="n">
        <v>3</v>
      </c>
      <c r="B5" s="169" t="inlineStr">
        <is>
          <t>40-920</t>
        </is>
      </c>
      <c r="C5" s="169" t="inlineStr">
        <is>
          <t>BWDB</t>
        </is>
      </c>
      <c r="D5" s="170" t="inlineStr">
        <is>
          <t>Earth work in cutting and filling of eroded bank of river, channel etc. ,ditch filling within 50m rest disposed at 100m distance</t>
        </is>
      </c>
      <c r="E5" s="169" t="inlineStr">
        <is>
          <t>cum</t>
        </is>
      </c>
      <c r="F5" s="171" t="n">
        <v>3367.55</v>
      </c>
      <c r="G5" s="172" t="n">
        <v>248.87</v>
      </c>
      <c r="H5" s="172" t="n">
        <v>199.096</v>
      </c>
      <c r="I5" s="173" t="n">
        <v>49.774</v>
      </c>
      <c r="J5" s="173" t="n">
        <v>167616.4337</v>
      </c>
      <c r="K5" s="26" t="inlineStr">
        <is>
          <t>BELOW SOR</t>
        </is>
      </c>
    </row>
    <row r="6" ht="30" customHeight="1">
      <c r="A6" s="168" t="n">
        <v>4</v>
      </c>
      <c r="B6" s="169" t="inlineStr">
        <is>
          <t>16-720-10</t>
        </is>
      </c>
      <c r="C6" s="169" t="inlineStr">
        <is>
          <t>BWDB</t>
        </is>
      </c>
      <c r="D6" s="170" t="inlineStr">
        <is>
          <t>Filling ditch/pond/channel/khal etc  within 1 km along the rive</t>
        </is>
      </c>
      <c r="E6" s="169" t="inlineStr">
        <is>
          <t>cum/km</t>
        </is>
      </c>
      <c r="F6" s="171" t="n">
        <v>5178.74</v>
      </c>
      <c r="G6" s="172" t="n">
        <v>173.46</v>
      </c>
      <c r="H6" s="172" t="n">
        <v>138.768</v>
      </c>
      <c r="I6" s="173" t="n">
        <v>34.69200000000001</v>
      </c>
      <c r="J6" s="173" t="n">
        <v>179660.84808</v>
      </c>
      <c r="K6" s="26" t="inlineStr">
        <is>
          <t>BELOW SOR</t>
        </is>
      </c>
    </row>
    <row r="7" ht="30" customHeight="1">
      <c r="A7" s="168" t="n">
        <v>5</v>
      </c>
      <c r="B7" s="169" t="inlineStr">
        <is>
          <t>16-720-20</t>
        </is>
      </c>
      <c r="C7" s="169" t="inlineStr">
        <is>
          <t>BWDB</t>
        </is>
      </c>
      <c r="D7" s="170" t="inlineStr">
        <is>
          <t>Filling ditch/pond/channel/khal etc  within 2 km &amp; above along the rive</t>
        </is>
      </c>
      <c r="E7" s="169" t="inlineStr">
        <is>
          <t>cum/km</t>
        </is>
      </c>
      <c r="F7" s="171" t="n">
        <v>5178.74</v>
      </c>
      <c r="G7" s="172" t="n">
        <v>5.31</v>
      </c>
      <c r="H7" s="172" t="n">
        <v>4.248</v>
      </c>
      <c r="I7" s="173" t="n">
        <v>1.061999999999999</v>
      </c>
      <c r="J7" s="173" t="n">
        <v>5499.821879999997</v>
      </c>
      <c r="K7" s="26" t="inlineStr">
        <is>
          <t>BELOW SOR</t>
        </is>
      </c>
    </row>
    <row r="8" ht="22" customHeight="1">
      <c r="A8" s="168" t="n">
        <v>6</v>
      </c>
      <c r="B8" s="169" t="inlineStr">
        <is>
          <t>40-550-30</t>
        </is>
      </c>
      <c r="C8" s="169" t="inlineStr">
        <is>
          <t>BWDB</t>
        </is>
      </c>
      <c r="D8" s="170" t="inlineStr">
        <is>
          <t>Supply &amp; Laying Sand filter FM: 1.0 to 1.5</t>
        </is>
      </c>
      <c r="E8" s="169" t="inlineStr">
        <is>
          <t>cum</t>
        </is>
      </c>
      <c r="F8" s="171" t="n">
        <v>193.65</v>
      </c>
      <c r="G8" s="172" t="n">
        <v>1344.22</v>
      </c>
      <c r="H8" s="172" t="n">
        <v>1008.165</v>
      </c>
      <c r="I8" s="173" t="n">
        <v>336.0550000000001</v>
      </c>
      <c r="J8" s="173" t="n">
        <v>65077.05075000002</v>
      </c>
      <c r="K8" s="26" t="inlineStr">
        <is>
          <t>BELOW SOR</t>
        </is>
      </c>
    </row>
    <row r="9" ht="42" customHeight="1">
      <c r="A9" s="168" t="n">
        <v>7</v>
      </c>
      <c r="B9" s="169" t="inlineStr">
        <is>
          <t>40-500-40</t>
        </is>
      </c>
      <c r="C9" s="169" t="inlineStr">
        <is>
          <t>BWDB</t>
        </is>
      </c>
      <c r="D9" s="170" t="inlineStr">
        <is>
          <t>Geo-tex filter supply and laying, 3mm thickness, 400 g/m2 mass100% Polypropylene Fabric, Thickness=&gt; 3mm</t>
        </is>
      </c>
      <c r="E9" s="169" t="inlineStr">
        <is>
          <t>sqm</t>
        </is>
      </c>
      <c r="F9" s="171" t="n">
        <v>3075.86</v>
      </c>
      <c r="G9" s="172" t="n">
        <v>286.16</v>
      </c>
      <c r="H9" s="172" t="n">
        <v>228.928</v>
      </c>
      <c r="I9" s="173" t="n">
        <v>57.232</v>
      </c>
      <c r="J9" s="173" t="n">
        <v>176037.61952</v>
      </c>
      <c r="K9" s="26" t="inlineStr">
        <is>
          <t>BELOW SOR</t>
        </is>
      </c>
    </row>
    <row r="10" ht="30" customHeight="1">
      <c r="A10" s="168" t="n">
        <v>8</v>
      </c>
      <c r="B10" s="169" t="inlineStr">
        <is>
          <t>40-520-20</t>
        </is>
      </c>
      <c r="C10" s="169" t="inlineStr">
        <is>
          <t>BWDB</t>
        </is>
      </c>
      <c r="D10" s="170" t="inlineStr">
        <is>
          <t>Jhama chips Well graded between 40mm to 20mm size</t>
        </is>
      </c>
      <c r="E10" s="169" t="inlineStr">
        <is>
          <t>cum</t>
        </is>
      </c>
      <c r="F10" s="171" t="n">
        <v>96.40000000000001</v>
      </c>
      <c r="G10" s="172" t="n">
        <v>5784.88</v>
      </c>
      <c r="H10" s="172" t="n">
        <v>4627.904</v>
      </c>
      <c r="I10" s="173" t="n">
        <v>1156.976</v>
      </c>
      <c r="J10" s="173" t="n">
        <v>111532.4864</v>
      </c>
      <c r="K10" s="26" t="inlineStr">
        <is>
          <t>BELOW SOR</t>
        </is>
      </c>
    </row>
    <row r="11" ht="42" customHeight="1">
      <c r="A11" s="168" t="n">
        <v>9</v>
      </c>
      <c r="B11" s="169" t="inlineStr">
        <is>
          <t>40-520-30</t>
        </is>
      </c>
      <c r="C11" s="169" t="inlineStr">
        <is>
          <t>BWDB</t>
        </is>
      </c>
      <c r="D11" s="170" t="inlineStr">
        <is>
          <t>Jhama chips Well graded between 20mm to 5mm size (Combination of sub-item 10 &amp; 30 or 20 &amp; 30 shall be used).</t>
        </is>
      </c>
      <c r="E11" s="169" t="inlineStr">
        <is>
          <t>cum</t>
        </is>
      </c>
      <c r="F11" s="171" t="n">
        <v>96.40000000000001</v>
      </c>
      <c r="G11" s="172" t="n">
        <v>6285.92</v>
      </c>
      <c r="H11" s="172" t="n">
        <v>5028.736000000001</v>
      </c>
      <c r="I11" s="173" t="n">
        <v>1257.183999999999</v>
      </c>
      <c r="J11" s="173" t="n">
        <v>121192.5375999999</v>
      </c>
      <c r="K11" s="26" t="inlineStr">
        <is>
          <t>BELOW SOR</t>
        </is>
      </c>
    </row>
    <row r="12" ht="42" customHeight="1">
      <c r="A12" s="180" t="n">
        <v>10</v>
      </c>
      <c r="B12" s="181" t="inlineStr">
        <is>
          <t>40-170-40</t>
        </is>
      </c>
      <c r="C12" s="181" t="inlineStr">
        <is>
          <t>BWDB</t>
        </is>
      </c>
      <c r="D12" s="182" t="inlineStr">
        <is>
          <t>C.C blocks(1:3:5.5), FM&gt;=1.5, Stone chips 40mm, Block size 40 cm x 40 cm x 20 cm; 28 days cylinder strength of 10.50 N/mm²</t>
        </is>
      </c>
      <c r="E12" s="181" t="inlineStr">
        <is>
          <t>Each</t>
        </is>
      </c>
      <c r="F12" s="183" t="n">
        <v>10440</v>
      </c>
      <c r="G12" s="184" t="n">
        <v>485</v>
      </c>
      <c r="H12" s="184" t="n">
        <v>495</v>
      </c>
      <c r="I12" s="185" t="n">
        <v>-10</v>
      </c>
      <c r="J12" s="185" t="n">
        <v>-104400</v>
      </c>
      <c r="K12" s="67" t="inlineStr">
        <is>
          <t>VARIANCE</t>
        </is>
      </c>
    </row>
    <row r="13" ht="42" customHeight="1">
      <c r="A13" s="180" t="n">
        <v>11</v>
      </c>
      <c r="B13" s="181" t="inlineStr">
        <is>
          <t>40-170-06</t>
        </is>
      </c>
      <c r="C13" s="181" t="inlineStr">
        <is>
          <t>BWDB</t>
        </is>
      </c>
      <c r="D13" s="182" t="inlineStr">
        <is>
          <t>C.C blocks(1:3:5.5), FM&gt;=1.5, Stone chips 40mm, Block size 40 cm x 40 cm x 30 cm; 28 days cylinder strength of 9.0 N/mm131</t>
        </is>
      </c>
      <c r="E13" s="181" t="n">
        <v/>
      </c>
      <c r="F13" s="183" t="n">
        <v>2043</v>
      </c>
      <c r="G13" s="184" t="n">
        <v>727.51</v>
      </c>
      <c r="H13" s="184" t="n">
        <v>745</v>
      </c>
      <c r="I13" s="185" t="n">
        <v>-17.49000000000001</v>
      </c>
      <c r="J13" s="185" t="n">
        <v>-35732.07000000002</v>
      </c>
      <c r="K13" s="67" t="inlineStr">
        <is>
          <t>VARIANCE</t>
        </is>
      </c>
    </row>
    <row r="14" ht="42" customHeight="1">
      <c r="A14" s="180" t="n">
        <v>12</v>
      </c>
      <c r="B14" s="181" t="inlineStr">
        <is>
          <t>40-170-25</t>
        </is>
      </c>
      <c r="C14" s="181" t="inlineStr">
        <is>
          <t>BWDB</t>
        </is>
      </c>
      <c r="D14" s="182" t="inlineStr">
        <is>
          <t>C.C blocks(1:3:5.5), FM&gt;=1.5, Stone chips 40mm, Block size 45cm x 45cm x 45cm; 28 days cylinder strength of 9.0 N/mm²</t>
        </is>
      </c>
      <c r="E14" s="181" t="inlineStr">
        <is>
          <t>Each</t>
        </is>
      </c>
      <c r="F14" s="183" t="n">
        <v>67291</v>
      </c>
      <c r="G14" s="184" t="n">
        <v>1384.61</v>
      </c>
      <c r="H14" s="184" t="n">
        <v>1405</v>
      </c>
      <c r="I14" s="185" t="n">
        <v>-20.3900000000001</v>
      </c>
      <c r="J14" s="185" t="n">
        <v>-1372063.490000007</v>
      </c>
      <c r="K14" s="67" t="inlineStr">
        <is>
          <t>VARIANCE</t>
        </is>
      </c>
    </row>
    <row r="15" ht="42" customHeight="1">
      <c r="A15" s="180" t="n">
        <v>13</v>
      </c>
      <c r="B15" s="181" t="inlineStr">
        <is>
          <t>40-170-45</t>
        </is>
      </c>
      <c r="C15" s="181" t="inlineStr">
        <is>
          <t>BWDB</t>
        </is>
      </c>
      <c r="D15" s="182" t="inlineStr">
        <is>
          <t>C.C blocks(1:3:5.5), FM&gt;=1.5, Stone chips 40mm, Block size 35cm x 35cm x 35cm; 28 days cylinder strength of 9.0 N/mm²</t>
        </is>
      </c>
      <c r="E15" s="181" t="inlineStr">
        <is>
          <t>Each</t>
        </is>
      </c>
      <c r="F15" s="183" t="n">
        <v>94813</v>
      </c>
      <c r="G15" s="184" t="n">
        <v>650.35</v>
      </c>
      <c r="H15" s="184" t="n">
        <v>660</v>
      </c>
      <c r="I15" s="185" t="n">
        <v>-9.649999999999977</v>
      </c>
      <c r="J15" s="185" t="n">
        <v>-914945.4499999979</v>
      </c>
      <c r="K15" s="67" t="inlineStr">
        <is>
          <t>VARIANCE</t>
        </is>
      </c>
    </row>
    <row r="16" ht="42" customHeight="1">
      <c r="A16" s="174" t="n">
        <v>14</v>
      </c>
      <c r="B16" s="175" t="inlineStr">
        <is>
          <t>40-360-10</t>
        </is>
      </c>
      <c r="C16" s="175" t="inlineStr">
        <is>
          <t>BWDB</t>
        </is>
      </c>
      <c r="D16" s="176" t="inlineStr">
        <is>
          <t>"[Dumping with Barge &amp; Total Station] Geo-bag; inner size:1200mmX 950mm, Outer size: 1250mmX1000mm; Fill vol= 0.1664cum, wt=250 kg.</t>
        </is>
      </c>
      <c r="E16" s="175" t="inlineStr">
        <is>
          <t>Each</t>
        </is>
      </c>
      <c r="F16" s="177" t="n">
        <v>58594</v>
      </c>
      <c r="G16" s="178" t="n">
        <v>681.72</v>
      </c>
      <c r="H16" s="178" t="n">
        <v>675</v>
      </c>
      <c r="I16" s="186" t="n">
        <v>6.720000000000027</v>
      </c>
      <c r="J16" s="186" t="n">
        <v>393751.6800000016</v>
      </c>
      <c r="K16" s="30" t="inlineStr">
        <is>
          <t>AT SOR</t>
        </is>
      </c>
    </row>
    <row r="17" ht="30" customHeight="1">
      <c r="A17" s="174" t="n">
        <v>15</v>
      </c>
      <c r="B17" s="175" t="inlineStr">
        <is>
          <t>40-380-10</t>
        </is>
      </c>
      <c r="C17" s="175" t="inlineStr">
        <is>
          <t>BWDB</t>
        </is>
      </c>
      <c r="D17" s="176" t="inlineStr">
        <is>
          <t>Supplying filling and placing of geo-textile bags 250 Kg</t>
        </is>
      </c>
      <c r="E17" s="175" t="inlineStr">
        <is>
          <t>Nos</t>
        </is>
      </c>
      <c r="F17" s="177" t="n">
        <v>4380</v>
      </c>
      <c r="G17" s="178" t="n">
        <v>655.62</v>
      </c>
      <c r="H17" s="178" t="n">
        <v>655.62</v>
      </c>
      <c r="I17" s="179" t="n">
        <v>0</v>
      </c>
      <c r="J17" s="179" t="n">
        <v>0</v>
      </c>
      <c r="K17" s="30" t="inlineStr">
        <is>
          <t>AT SOR</t>
        </is>
      </c>
    </row>
    <row r="18" ht="55" customHeight="1">
      <c r="A18" s="174" t="n">
        <v>16</v>
      </c>
      <c r="B18" s="175" t="inlineStr">
        <is>
          <t>40-570-10</t>
        </is>
      </c>
      <c r="C18" s="175" t="inlineStr">
        <is>
          <t>BWDB</t>
        </is>
      </c>
      <c r="D18" s="176" t="inlineStr">
        <is>
          <t>Labour charge for salvaging of Geo-Bags of different sizes including carriage within the site of any protective work with all leads and lifts and stacking in measurable stacks as per direction of Engineer in charge. Salvaging of 250 kg</t>
        </is>
      </c>
      <c r="E18" s="175" t="inlineStr">
        <is>
          <t>Nos</t>
        </is>
      </c>
      <c r="F18" s="177" t="n">
        <v>4380</v>
      </c>
      <c r="G18" s="178" t="n">
        <v>34.17</v>
      </c>
      <c r="H18" s="178" t="n">
        <v>34.17</v>
      </c>
      <c r="I18" s="179" t="n">
        <v>0</v>
      </c>
      <c r="J18" s="179" t="n">
        <v>0</v>
      </c>
      <c r="K18" s="30" t="inlineStr">
        <is>
          <t>AT SOR</t>
        </is>
      </c>
    </row>
    <row r="19" ht="54" customHeight="1">
      <c r="A19" s="174" t="n">
        <v>17</v>
      </c>
      <c r="B19" s="175" t="inlineStr">
        <is>
          <t>40-320-10</t>
        </is>
      </c>
      <c r="C19" s="175" t="inlineStr">
        <is>
          <t>BWDB</t>
        </is>
      </c>
      <c r="D19" s="176" t="inlineStr">
        <is>
          <t>Supplying of geo-textile bags (empty) Geo-bag: size= inner:1200mmX 950mm, Outer: 1250mmX1000mm; Geo-fabric thickness=&gt; 3.00mm fill vol= 0.1664cum, wt=250 kg. "</t>
        </is>
      </c>
      <c r="E19" s="175" t="inlineStr">
        <is>
          <t>Nos</t>
        </is>
      </c>
      <c r="F19" s="177" t="n">
        <v>2344</v>
      </c>
      <c r="G19" s="178" t="n">
        <v>424.09</v>
      </c>
      <c r="H19" s="178" t="n">
        <v>424.09</v>
      </c>
      <c r="I19" s="179" t="n">
        <v>0</v>
      </c>
      <c r="J19" s="179" t="n">
        <v>0</v>
      </c>
      <c r="K19" s="30" t="inlineStr">
        <is>
          <t>AT SOR</t>
        </is>
      </c>
    </row>
    <row r="20" ht="30" customHeight="1">
      <c r="A20" s="168" t="n">
        <v>18</v>
      </c>
      <c r="B20" s="169" t="inlineStr">
        <is>
          <t>40-270-10</t>
        </is>
      </c>
      <c r="C20" s="169" t="inlineStr">
        <is>
          <t>BWDB</t>
        </is>
      </c>
      <c r="D20" s="170" t="inlineStr">
        <is>
          <t>Labor charge for Laying C.C. Block .Within 200m.</t>
        </is>
      </c>
      <c r="E20" s="169" t="inlineStr">
        <is>
          <t>cum</t>
        </is>
      </c>
      <c r="F20" s="171" t="n">
        <v>439.56</v>
      </c>
      <c r="G20" s="172" t="n">
        <v>1586.93</v>
      </c>
      <c r="H20" s="172" t="n">
        <v>1269.544</v>
      </c>
      <c r="I20" s="173" t="n">
        <v>317.386</v>
      </c>
      <c r="J20" s="173" t="n">
        <v>139510.19016</v>
      </c>
      <c r="K20" s="26" t="inlineStr">
        <is>
          <t>BELOW SOR</t>
        </is>
      </c>
    </row>
    <row r="21" ht="30" customHeight="1">
      <c r="A21" s="168" t="n">
        <v>19</v>
      </c>
      <c r="B21" s="169" t="inlineStr">
        <is>
          <t>40-270-20</t>
        </is>
      </c>
      <c r="C21" s="169" t="inlineStr">
        <is>
          <t>BWDB</t>
        </is>
      </c>
      <c r="D21" s="170" t="inlineStr">
        <is>
          <t>Labor charge for Laying C.C. Block .Within 200m. To 500m</t>
        </is>
      </c>
      <c r="E21" s="169" t="inlineStr">
        <is>
          <t>cum</t>
        </is>
      </c>
      <c r="F21" s="171" t="n">
        <v>439.56</v>
      </c>
      <c r="G21" s="172" t="n">
        <v>2486.73</v>
      </c>
      <c r="H21" s="172" t="n">
        <v>1989.384</v>
      </c>
      <c r="I21" s="173" t="n">
        <v>497.346</v>
      </c>
      <c r="J21" s="173" t="n">
        <v>218613.40776</v>
      </c>
      <c r="K21" s="26" t="inlineStr">
        <is>
          <t>BELOW SOR</t>
        </is>
      </c>
    </row>
    <row r="22" ht="55" customHeight="1">
      <c r="A22" s="168" t="n">
        <v>20</v>
      </c>
      <c r="B22" s="169" t="inlineStr">
        <is>
          <t>40-300-10</t>
        </is>
      </c>
      <c r="C22" s="169" t="inlineStr">
        <is>
          <t>BWDB</t>
        </is>
      </c>
      <c r="D22" s="170" t="inlineStr">
        <is>
          <t>Dumping work of Hard rock/stone/ boulders/C.C blocks/brick blocks/ sand cement blocks over a uniform area from properly positioned flat-top pontoon/barge up to an accuracy of 10cm monitoring with total station.-Within 200m.</t>
        </is>
      </c>
      <c r="E22" s="169" t="inlineStr">
        <is>
          <t>cum</t>
        </is>
      </c>
      <c r="F22" s="171" t="n">
        <v>4875.02</v>
      </c>
      <c r="G22" s="172" t="n">
        <v>2463.7</v>
      </c>
      <c r="H22" s="172" t="n">
        <v>1970.96</v>
      </c>
      <c r="I22" s="173" t="n">
        <v>492.7399999999998</v>
      </c>
      <c r="J22" s="173" t="n">
        <v>2402117.354799999</v>
      </c>
      <c r="K22" s="26" t="inlineStr">
        <is>
          <t>BELOW SOR</t>
        </is>
      </c>
    </row>
    <row r="23" ht="55" customHeight="1">
      <c r="A23" s="168" t="n">
        <v>21</v>
      </c>
      <c r="B23" s="169" t="inlineStr">
        <is>
          <t>40-300-20</t>
        </is>
      </c>
      <c r="C23" s="169" t="inlineStr">
        <is>
          <t>BWDB</t>
        </is>
      </c>
      <c r="D23" s="170" t="inlineStr">
        <is>
          <t>Dumping work of Hard rock/stone/ boulders/C.C blocks/brick blocks/ sand cement blocks over a uniform area from properly positioned flat-top pontoon/barge up to an accuracy of 10cm monitoring with total station. - 200m. To 500 m</t>
        </is>
      </c>
      <c r="E23" s="169" t="inlineStr">
        <is>
          <t>cum</t>
        </is>
      </c>
      <c r="F23" s="171" t="n">
        <v>4875.02</v>
      </c>
      <c r="G23" s="172" t="n">
        <v>3061.99</v>
      </c>
      <c r="H23" s="172" t="n">
        <v>2449.592</v>
      </c>
      <c r="I23" s="173" t="n">
        <v>612.3979999999997</v>
      </c>
      <c r="J23" s="173" t="n">
        <v>2985452.497959999</v>
      </c>
      <c r="K23" s="26" t="inlineStr">
        <is>
          <t>BELOW SOR</t>
        </is>
      </c>
    </row>
    <row r="24" ht="30" customHeight="1">
      <c r="A24" s="174" t="n">
        <v>22</v>
      </c>
      <c r="B24" s="175" t="inlineStr">
        <is>
          <t>02-1-2</t>
        </is>
      </c>
      <c r="C24" s="175" t="inlineStr">
        <is>
          <t>PWD</t>
        </is>
      </c>
      <c r="D24" s="176" t="inlineStr">
        <is>
          <t>Earth work in excavation in all kinds of soil for foundation trenches</t>
        </is>
      </c>
      <c r="E24" s="175" t="inlineStr">
        <is>
          <t>cum</t>
        </is>
      </c>
      <c r="F24" s="177" t="n">
        <v>42.65</v>
      </c>
      <c r="G24" s="178" t="n">
        <v>153</v>
      </c>
      <c r="H24" s="178" t="n">
        <v>153</v>
      </c>
      <c r="I24" s="179" t="n">
        <v>0</v>
      </c>
      <c r="J24" s="179" t="n">
        <v>0</v>
      </c>
      <c r="K24" s="30" t="inlineStr">
        <is>
          <t>AT SOR</t>
        </is>
      </c>
    </row>
    <row r="25" ht="30" customHeight="1">
      <c r="A25" s="174" t="n">
        <v>23</v>
      </c>
      <c r="B25" s="175" t="inlineStr">
        <is>
          <t>03.4.2</t>
        </is>
      </c>
      <c r="C25" s="175" t="inlineStr">
        <is>
          <t>PWD</t>
        </is>
      </c>
      <c r="D25" s="176" t="inlineStr">
        <is>
          <t>Lean / blinding concrete (1:3:6) in foundation</t>
        </is>
      </c>
      <c r="E25" s="175" t="inlineStr">
        <is>
          <t>cum</t>
        </is>
      </c>
      <c r="F25" s="177" t="n">
        <v>10.47</v>
      </c>
      <c r="G25" s="178" t="n">
        <v>8971</v>
      </c>
      <c r="H25" s="178" t="n">
        <v>8971</v>
      </c>
      <c r="I25" s="179" t="n">
        <v>0</v>
      </c>
      <c r="J25" s="179" t="n">
        <v>0</v>
      </c>
      <c r="K25" s="30" t="inlineStr">
        <is>
          <t>AT SOR</t>
        </is>
      </c>
    </row>
    <row r="26" ht="42" customHeight="1">
      <c r="A26" s="174" t="n">
        <v>24</v>
      </c>
      <c r="B26" s="175" t="inlineStr">
        <is>
          <t>PWD07.18.3</t>
        </is>
      </c>
      <c r="C26" s="175" t="inlineStr">
        <is>
          <t>PWD</t>
        </is>
      </c>
      <c r="D26" s="176" t="inlineStr">
        <is>
          <t>Centering and shuttering, including strutting, propping etc. and removal of form for: Padestals. column, walls</t>
        </is>
      </c>
      <c r="E26" s="175" t="inlineStr">
        <is>
          <t>sqm</t>
        </is>
      </c>
      <c r="F26" s="177" t="n">
        <v>39.69</v>
      </c>
      <c r="G26" s="178" t="n">
        <v>508</v>
      </c>
      <c r="H26" s="178" t="n">
        <v>508</v>
      </c>
      <c r="I26" s="179" t="n">
        <v>0</v>
      </c>
      <c r="J26" s="179" t="n">
        <v>0</v>
      </c>
      <c r="K26" s="30" t="inlineStr">
        <is>
          <t>AT SOR</t>
        </is>
      </c>
    </row>
    <row r="27" ht="22" customHeight="1">
      <c r="A27" s="174" t="n">
        <v>25</v>
      </c>
      <c r="B27" s="175" t="inlineStr">
        <is>
          <t>08.1.2</t>
        </is>
      </c>
      <c r="C27" s="175" t="inlineStr">
        <is>
          <t>PWD</t>
        </is>
      </c>
      <c r="D27" s="176" t="inlineStr">
        <is>
          <t>MS Rod</t>
        </is>
      </c>
      <c r="E27" s="175" t="inlineStr">
        <is>
          <t>kg</t>
        </is>
      </c>
      <c r="F27" s="177" t="n">
        <v>693.54</v>
      </c>
      <c r="G27" s="178" t="n">
        <v>120</v>
      </c>
      <c r="H27" s="178" t="n">
        <v>120</v>
      </c>
      <c r="I27" s="179" t="n">
        <v>0</v>
      </c>
      <c r="J27" s="179" t="n">
        <v>0</v>
      </c>
      <c r="K27" s="30" t="inlineStr">
        <is>
          <t>AT SOR</t>
        </is>
      </c>
    </row>
    <row r="28" ht="22" customHeight="1">
      <c r="A28" s="174" t="n">
        <v>26</v>
      </c>
      <c r="B28" s="175" t="inlineStr">
        <is>
          <t>07.2.2</t>
        </is>
      </c>
      <c r="C28" s="175" t="inlineStr">
        <is>
          <t>PWD</t>
        </is>
      </c>
      <c r="D28" s="176" t="inlineStr">
        <is>
          <t>RCC Work</t>
        </is>
      </c>
      <c r="E28" s="175" t="inlineStr">
        <is>
          <t>cum</t>
        </is>
      </c>
      <c r="F28" s="177" t="n">
        <v>6.67</v>
      </c>
      <c r="G28" s="178" t="n">
        <v>13680</v>
      </c>
      <c r="H28" s="178" t="n">
        <v>13680</v>
      </c>
      <c r="I28" s="179" t="n">
        <v>0</v>
      </c>
      <c r="J28" s="179" t="n">
        <v>0</v>
      </c>
      <c r="K28" s="30" t="inlineStr">
        <is>
          <t>AT SOR</t>
        </is>
      </c>
    </row>
    <row r="29" ht="22" customHeight="1">
      <c r="A29" s="174" t="n">
        <v>27</v>
      </c>
      <c r="B29" s="175" t="inlineStr">
        <is>
          <t>3.12.06</t>
        </is>
      </c>
      <c r="C29" s="175" t="inlineStr">
        <is>
          <t>LGED</t>
        </is>
      </c>
      <c r="D29" s="176" t="inlineStr">
        <is>
          <t>Painting and writing on kilometer post</t>
        </is>
      </c>
      <c r="E29" s="175" t="inlineStr">
        <is>
          <t>sqm</t>
        </is>
      </c>
      <c r="F29" s="177" t="n">
        <v>6.16</v>
      </c>
      <c r="G29" s="178" t="n">
        <v>314.54</v>
      </c>
      <c r="H29" s="178" t="n">
        <v>314.54</v>
      </c>
      <c r="I29" s="179" t="n">
        <v>0</v>
      </c>
      <c r="J29" s="179" t="n">
        <v>0</v>
      </c>
      <c r="K29" s="30" t="inlineStr">
        <is>
          <t>AT SOR</t>
        </is>
      </c>
    </row>
    <row r="30" ht="30" customHeight="1">
      <c r="A30" s="174" t="n">
        <v>28</v>
      </c>
      <c r="B30" s="175" t="inlineStr">
        <is>
          <t>1.02</t>
        </is>
      </c>
      <c r="C30" s="175" t="inlineStr">
        <is>
          <t>LGED</t>
        </is>
      </c>
      <c r="D30" s="176" t="inlineStr">
        <is>
          <t>Project Profile Signboard: Providing and fixing of typical project profile signboard</t>
        </is>
      </c>
      <c r="E30" s="175" t="inlineStr">
        <is>
          <t>sqm</t>
        </is>
      </c>
      <c r="F30" s="177" t="n">
        <v>4.32</v>
      </c>
      <c r="G30" s="178" t="n">
        <v>16755.53</v>
      </c>
      <c r="H30" s="178" t="n">
        <v>16755.53</v>
      </c>
      <c r="I30" s="179" t="n">
        <v>0</v>
      </c>
      <c r="J30" s="179" t="n">
        <v>0</v>
      </c>
      <c r="K30" s="30" t="inlineStr">
        <is>
          <t>AT SOR</t>
        </is>
      </c>
    </row>
    <row r="31" ht="22" customHeight="1">
      <c r="A31" s="174" t="n">
        <v>29</v>
      </c>
      <c r="B31" s="175" t="inlineStr">
        <is>
          <t>04-3(PWD)</t>
        </is>
      </c>
      <c r="C31" s="175" t="inlineStr">
        <is>
          <t>PWD</t>
        </is>
      </c>
      <c r="D31" s="176" t="inlineStr">
        <is>
          <t>Brick works with first class bricks</t>
        </is>
      </c>
      <c r="E31" s="175" t="inlineStr">
        <is>
          <t>cum</t>
        </is>
      </c>
      <c r="F31" s="177" t="n">
        <v>3.51</v>
      </c>
      <c r="G31" s="178" t="n">
        <v>9657</v>
      </c>
      <c r="H31" s="178" t="n">
        <v>9657</v>
      </c>
      <c r="I31" s="179" t="n">
        <v>0</v>
      </c>
      <c r="J31" s="179" t="n">
        <v>0</v>
      </c>
      <c r="K31" s="30" t="inlineStr">
        <is>
          <t>AT SOR</t>
        </is>
      </c>
    </row>
    <row r="32" ht="42" customHeight="1">
      <c r="A32" s="174" t="n">
        <v>30</v>
      </c>
      <c r="B32" s="175" t="inlineStr">
        <is>
          <t>06-4-1</t>
        </is>
      </c>
      <c r="C32" s="175" t="inlineStr">
        <is>
          <t>PWD</t>
        </is>
      </c>
      <c r="D32" s="176" t="inlineStr">
        <is>
          <t>Supplying, fitting and fixing foreign made polished pocelain/ mirror polished homogeneous floor tiles</t>
        </is>
      </c>
      <c r="E32" s="175" t="inlineStr">
        <is>
          <t>sqm</t>
        </is>
      </c>
      <c r="F32" s="177" t="n">
        <v>25.45</v>
      </c>
      <c r="G32" s="178" t="n">
        <v>2562</v>
      </c>
      <c r="H32" s="178" t="n">
        <v>2562</v>
      </c>
      <c r="I32" s="179" t="n">
        <v>0</v>
      </c>
      <c r="J32" s="179" t="n">
        <v>0</v>
      </c>
      <c r="K32" s="30" t="inlineStr">
        <is>
          <t>AT SOR</t>
        </is>
      </c>
    </row>
    <row r="33" ht="30" customHeight="1">
      <c r="A33" s="174" t="n">
        <v>31</v>
      </c>
      <c r="B33" s="175" t="inlineStr">
        <is>
          <t>06-6-1</t>
        </is>
      </c>
      <c r="C33" s="175" t="inlineStr">
        <is>
          <t>PWD</t>
        </is>
      </c>
      <c r="D33" s="176" t="inlineStr">
        <is>
          <t>Supplying, fitting and fixing country made glazed wall tiles</t>
        </is>
      </c>
      <c r="E33" s="175" t="inlineStr">
        <is>
          <t>sqm</t>
        </is>
      </c>
      <c r="F33" s="177" t="n">
        <v>19.91</v>
      </c>
      <c r="G33" s="178" t="n">
        <v>1311</v>
      </c>
      <c r="H33" s="178" t="n">
        <v>1311</v>
      </c>
      <c r="I33" s="179" t="n">
        <v>0</v>
      </c>
      <c r="J33" s="179" t="n">
        <v>0</v>
      </c>
      <c r="K33" s="30" t="inlineStr">
        <is>
          <t>AT SOR</t>
        </is>
      </c>
    </row>
    <row r="34" ht="22" customHeight="1">
      <c r="A34" s="174" t="n">
        <v>32</v>
      </c>
      <c r="B34" s="175" t="inlineStr">
        <is>
          <t>16-1-1(PWD</t>
        </is>
      </c>
      <c r="C34" s="175" t="inlineStr">
        <is>
          <t>PWD</t>
        </is>
      </c>
      <c r="D34" s="176" t="inlineStr">
        <is>
          <t>Exterior standard acrylic emulsion paint</t>
        </is>
      </c>
      <c r="E34" s="175" t="inlineStr">
        <is>
          <t>sqm</t>
        </is>
      </c>
      <c r="F34" s="177" t="n">
        <v>662.8099999999999</v>
      </c>
      <c r="G34" s="178" t="n">
        <v>261</v>
      </c>
      <c r="H34" s="178" t="n">
        <v>261</v>
      </c>
      <c r="I34" s="179" t="n">
        <v>0</v>
      </c>
      <c r="J34" s="179" t="n">
        <v>0</v>
      </c>
      <c r="K34" s="30" t="inlineStr">
        <is>
          <t>AT SOR</t>
        </is>
      </c>
    </row>
    <row r="35" ht="30" customHeight="1">
      <c r="A35" s="174" t="n">
        <v>33</v>
      </c>
      <c r="B35" s="175" t="inlineStr">
        <is>
          <t>15-1-1(PWD)</t>
        </is>
      </c>
      <c r="C35" s="175" t="inlineStr">
        <is>
          <t>PWD</t>
        </is>
      </c>
      <c r="D35" s="176" t="inlineStr">
        <is>
          <t>Minimum 12 mm thick cement sand (F.M. 1.2) plaster</t>
        </is>
      </c>
      <c r="E35" s="175" t="inlineStr">
        <is>
          <t>sqm</t>
        </is>
      </c>
      <c r="F35" s="177" t="n">
        <v>9.050000000000001</v>
      </c>
      <c r="G35" s="178" t="n">
        <v>297</v>
      </c>
      <c r="H35" s="178" t="n">
        <v>297</v>
      </c>
      <c r="I35" s="179" t="n">
        <v>0</v>
      </c>
      <c r="J35" s="179" t="n">
        <v>0</v>
      </c>
      <c r="K35" s="30" t="inlineStr">
        <is>
          <t>AT SOR</t>
        </is>
      </c>
    </row>
    <row r="36" ht="22" customHeight="1">
      <c r="A36" s="174" t="n">
        <v>34</v>
      </c>
      <c r="B36" s="175" t="inlineStr">
        <is>
          <t>03.1.1(PWD)</t>
        </is>
      </c>
      <c r="C36" s="175" t="inlineStr">
        <is>
          <t>PWD</t>
        </is>
      </c>
      <c r="D36" s="176" t="inlineStr">
        <is>
          <t>One layer brick flat soling in foundation</t>
        </is>
      </c>
      <c r="E36" s="175" t="inlineStr">
        <is>
          <t>sqm</t>
        </is>
      </c>
      <c r="F36" s="177" t="n">
        <v>9.050000000000001</v>
      </c>
      <c r="G36" s="178" t="n">
        <v>607</v>
      </c>
      <c r="H36" s="178" t="n">
        <v>607</v>
      </c>
      <c r="I36" s="179" t="n">
        <v>0</v>
      </c>
      <c r="J36" s="179" t="n">
        <v>0</v>
      </c>
      <c r="K36" s="30" t="inlineStr">
        <is>
          <t>AT SOR</t>
        </is>
      </c>
    </row>
    <row r="37" ht="42" customHeight="1">
      <c r="A37" s="174" t="n">
        <v>35</v>
      </c>
      <c r="B37" s="175" t="inlineStr">
        <is>
          <t>PWD EM-1.18.1.1.1</t>
        </is>
      </c>
      <c r="C37" s="175" t="inlineStr">
        <is>
          <t>PWD</t>
        </is>
      </c>
      <c r="D37" s="176" t="inlineStr">
        <is>
          <t>Providing &amp; laying of the following PVC insulated &amp; sheathed cable (NYY) / (XLPE) insulated &amp; PVC sheathed cable</t>
        </is>
      </c>
      <c r="E37" s="175" t="inlineStr">
        <is>
          <t>m</t>
        </is>
      </c>
      <c r="F37" s="177" t="n">
        <v>24</v>
      </c>
      <c r="G37" s="178" t="n">
        <v>450</v>
      </c>
      <c r="H37" s="178" t="n">
        <v>450</v>
      </c>
      <c r="I37" s="179" t="n">
        <v>0</v>
      </c>
      <c r="J37" s="179" t="n">
        <v>0</v>
      </c>
      <c r="K37" s="30" t="inlineStr">
        <is>
          <t>AT SOR</t>
        </is>
      </c>
    </row>
    <row r="38" ht="55" customHeight="1">
      <c r="A38" s="174" t="n">
        <v>36</v>
      </c>
      <c r="B38" s="175" t="inlineStr">
        <is>
          <t>PWD EM12.1</t>
        </is>
      </c>
      <c r="C38" s="175" t="inlineStr">
        <is>
          <t>PWD</t>
        </is>
      </c>
      <c r="D38" s="176" t="inlineStr">
        <is>
          <t>Supplying. installation, testing &amp; commissioning of following capacity solar system (offgrid) for 2 Hrs backup with required quantities of mono /poly crystalline silicon solar PV modules,S</t>
        </is>
      </c>
      <c r="E38" s="175" t="inlineStr">
        <is>
          <t>KWp</t>
        </is>
      </c>
      <c r="F38" s="177" t="n">
        <v>3</v>
      </c>
      <c r="G38" s="178" t="n">
        <v>176910</v>
      </c>
      <c r="H38" s="178" t="n">
        <v>176910</v>
      </c>
      <c r="I38" s="179" t="n">
        <v>0</v>
      </c>
      <c r="J38" s="179" t="n">
        <v>0</v>
      </c>
      <c r="K38" s="30" t="inlineStr">
        <is>
          <t>AT SOR</t>
        </is>
      </c>
    </row>
    <row r="39" ht="42" customHeight="1">
      <c r="A39" s="174" t="n">
        <v>37</v>
      </c>
      <c r="B39" s="175" t="inlineStr">
        <is>
          <t>PWD EM-6.8.3.1.1</t>
        </is>
      </c>
      <c r="C39" s="175" t="inlineStr">
        <is>
          <t>PWD</t>
        </is>
      </c>
      <c r="D39" s="176" t="inlineStr">
        <is>
          <t>STREET LIGHT FITTINGS (LED) Supply &amp; fixing LED street light fittings of following specifications:</t>
        </is>
      </c>
      <c r="E39" s="175" t="inlineStr">
        <is>
          <t>Each</t>
        </is>
      </c>
      <c r="F39" s="177" t="n">
        <v>3</v>
      </c>
      <c r="G39" s="178" t="n">
        <v>9225</v>
      </c>
      <c r="H39" s="178" t="n">
        <v>9225</v>
      </c>
      <c r="I39" s="179" t="n">
        <v>0</v>
      </c>
      <c r="J39" s="179" t="n">
        <v>0</v>
      </c>
      <c r="K39" s="30" t="inlineStr">
        <is>
          <t>AT SOR</t>
        </is>
      </c>
    </row>
    <row r="40" ht="30" customHeight="1">
      <c r="A40" s="174" t="n">
        <v>38</v>
      </c>
      <c r="B40" s="175" t="inlineStr">
        <is>
          <t>PWD EM3.2.4</t>
        </is>
      </c>
      <c r="C40" s="175" t="inlineStr">
        <is>
          <t>PWD</t>
        </is>
      </c>
      <c r="D40" s="176" t="inlineStr">
        <is>
          <t>G. I. POLE Providing following seamless Cl pole</t>
        </is>
      </c>
      <c r="E40" s="175" t="inlineStr">
        <is>
          <t>Each</t>
        </is>
      </c>
      <c r="F40" s="177" t="n">
        <v>3</v>
      </c>
      <c r="G40" s="178" t="n">
        <v>16550</v>
      </c>
      <c r="H40" s="178" t="n">
        <v>16550</v>
      </c>
      <c r="I40" s="179" t="n">
        <v>0</v>
      </c>
      <c r="J40" s="179" t="n">
        <v>0</v>
      </c>
      <c r="K40" s="30" t="inlineStr">
        <is>
          <t>AT SOR</t>
        </is>
      </c>
    </row>
    <row r="41" ht="54" customHeight="1">
      <c r="A41" s="174" t="n">
        <v>39</v>
      </c>
      <c r="B41" s="175" t="inlineStr">
        <is>
          <t>PWD EM3.10.1</t>
        </is>
      </c>
      <c r="C41" s="175" t="inlineStr">
        <is>
          <t>PWD</t>
        </is>
      </c>
      <c r="D41" s="176" t="inlineStr">
        <is>
          <t>STAY Providing and fixing following pole stay made of stranded Gl. wires complete with anchor plate of size 304.8 mm x 304.8 mm x 6.35 mm</t>
        </is>
      </c>
      <c r="E41" s="175" t="inlineStr">
        <is>
          <t>Each</t>
        </is>
      </c>
      <c r="F41" s="177" t="n">
        <v>3</v>
      </c>
      <c r="G41" s="178" t="n">
        <v>1841</v>
      </c>
      <c r="H41" s="178" t="n">
        <v>1841</v>
      </c>
      <c r="I41" s="179" t="n">
        <v>0</v>
      </c>
      <c r="J41" s="179" t="n">
        <v>0</v>
      </c>
      <c r="K41" s="30" t="inlineStr">
        <is>
          <t>AT SOR</t>
        </is>
      </c>
    </row>
    <row r="42" ht="55" customHeight="1">
      <c r="A42" s="174" t="n">
        <v>40</v>
      </c>
      <c r="B42" s="175" t="inlineStr">
        <is>
          <t>PWD EM3.17.1</t>
        </is>
      </c>
      <c r="C42" s="175" t="inlineStr">
        <is>
          <t>PWD</t>
        </is>
      </c>
      <c r="D42" s="176" t="inlineStr">
        <is>
          <t>SERVICE BRACKET Providing and fixing of 1524 mm (5') long 25.40 mm (1,') dia Gt. Pipe service bracket complete with I no. of Gl bend 2 nos. fixing clamps of 38.l0 mm x 6.35 mm (I.5''x1/4'') size iron flat bar bolts. nuts etc. complete as required</t>
        </is>
      </c>
      <c r="E42" s="175" t="inlineStr">
        <is>
          <t>Each</t>
        </is>
      </c>
      <c r="F42" s="177" t="n">
        <v>3</v>
      </c>
      <c r="G42" s="178" t="n">
        <v>1201</v>
      </c>
      <c r="H42" s="178" t="n">
        <v>1201</v>
      </c>
      <c r="I42" s="179" t="n">
        <v>0</v>
      </c>
      <c r="J42" s="179" t="n">
        <v>0</v>
      </c>
      <c r="K42" s="30" t="inlineStr">
        <is>
          <t>AT SOR</t>
        </is>
      </c>
    </row>
    <row r="43" ht="42" customHeight="1">
      <c r="A43" s="174" t="n">
        <v>41</v>
      </c>
      <c r="B43" s="175" t="inlineStr">
        <is>
          <t>PWD EM4.9.2</t>
        </is>
      </c>
      <c r="C43" s="175" t="inlineStr">
        <is>
          <t>PWD</t>
        </is>
      </c>
      <c r="D43" s="176" t="inlineStr">
        <is>
          <t>BOARD Supplying and fixing of almirah type 18 SWG metal board of depth 228mm (6'') duly painted</t>
        </is>
      </c>
      <c r="E43" s="175" t="inlineStr">
        <is>
          <t>Each</t>
        </is>
      </c>
      <c r="F43" s="177" t="n">
        <v>3</v>
      </c>
      <c r="G43" s="178" t="n">
        <v>17547</v>
      </c>
      <c r="H43" s="178" t="n">
        <v>17547</v>
      </c>
      <c r="I43" s="179" t="n">
        <v>0</v>
      </c>
      <c r="J43" s="179" t="n">
        <v>0</v>
      </c>
      <c r="K43" s="30" t="inlineStr">
        <is>
          <t>AT SOR</t>
        </is>
      </c>
    </row>
    <row r="44" ht="55" customHeight="1">
      <c r="A44" s="174" t="n">
        <v>42</v>
      </c>
      <c r="B44" s="175" t="inlineStr">
        <is>
          <t>PWD EM-4.4.1.1</t>
        </is>
      </c>
      <c r="C44" s="175" t="inlineStr">
        <is>
          <t>PWD</t>
        </is>
      </c>
      <c r="D44" s="176" t="inlineStr">
        <is>
          <t>CIRCUlT BREAKER (SPMCI]) Providing &amp; fixing on a prepared board 250 yolt grade following single pole miniature circuil breaker (SpMCBs) having minimum breaking capacity 6-KA / I0 KA with thermal over-current and instantaneous electromagnetic short circuit release provision as per BDS IEC and IEC /VDE / NEMA / BS / JIS standard. SPMCBs accepted / approved by the Ergireer-in-charge. 5 - .{0 Amps (minimum 6 KA) MCB</t>
        </is>
      </c>
      <c r="E44" s="175" t="inlineStr">
        <is>
          <t>Each</t>
        </is>
      </c>
      <c r="F44" s="177" t="n">
        <v>3</v>
      </c>
      <c r="G44" s="178" t="n">
        <v>779</v>
      </c>
      <c r="H44" s="178" t="n">
        <v>779</v>
      </c>
      <c r="I44" s="179" t="n">
        <v>0</v>
      </c>
      <c r="J44" s="179" t="n">
        <v>0</v>
      </c>
      <c r="K44" s="30" t="inlineStr">
        <is>
          <t>AT SOR</t>
        </is>
      </c>
    </row>
    <row r="45" ht="42" customHeight="1">
      <c r="A45" s="174" t="n">
        <v>43</v>
      </c>
      <c r="B45" s="175" t="inlineStr">
        <is>
          <t>PWD EM4.19.1</t>
        </is>
      </c>
      <c r="C45" s="175" t="inlineStr">
        <is>
          <t>PWD</t>
        </is>
      </c>
      <c r="D45" s="176" t="inlineStr">
        <is>
          <t>EARTHING Earthing the electrical installation with 40 mm ( 1.5'') dia c.l. pipe (earth electrode) having 6.35 mm. dia hole</t>
        </is>
      </c>
      <c r="E45" s="175" t="inlineStr">
        <is>
          <t>Each</t>
        </is>
      </c>
      <c r="F45" s="177" t="n">
        <v>3</v>
      </c>
      <c r="G45" s="178" t="n">
        <v>24786</v>
      </c>
      <c r="H45" s="178" t="n">
        <v>24786</v>
      </c>
      <c r="I45" s="179" t="n">
        <v>0</v>
      </c>
      <c r="J45" s="179" t="n">
        <v>0</v>
      </c>
      <c r="K45" s="30" t="inlineStr">
        <is>
          <t>AT SOR</t>
        </is>
      </c>
    </row>
    <row r="46" ht="30" customHeight="1">
      <c r="A46" s="174" t="n">
        <v>44</v>
      </c>
      <c r="B46" s="175" t="inlineStr">
        <is>
          <t>03.5.1(PWD)</t>
        </is>
      </c>
      <c r="C46" s="175" t="inlineStr">
        <is>
          <t>PWD</t>
        </is>
      </c>
      <c r="D46" s="176" t="inlineStr">
        <is>
          <t>Mass concrete (1:2:4) in foundation or in floor with cement</t>
        </is>
      </c>
      <c r="E46" s="175" t="inlineStr">
        <is>
          <t>cum</t>
        </is>
      </c>
      <c r="F46" s="177" t="n">
        <v>1.79</v>
      </c>
      <c r="G46" s="178" t="n">
        <v>10224</v>
      </c>
      <c r="H46" s="178" t="n">
        <v>10224</v>
      </c>
      <c r="I46" s="179" t="n">
        <v>0</v>
      </c>
      <c r="J46" s="179" t="n">
        <v>0</v>
      </c>
      <c r="K46" s="30" t="inlineStr">
        <is>
          <t>AT SOR</t>
        </is>
      </c>
    </row>
    <row r="47" ht="22" customHeight="1">
      <c r="A47" s="174" t="n">
        <v>45</v>
      </c>
      <c r="B47" s="175" t="inlineStr">
        <is>
          <t>80-305</t>
        </is>
      </c>
      <c r="C47" s="175" t="inlineStr">
        <is>
          <t>BWDB</t>
        </is>
      </c>
      <c r="D47" s="176" t="inlineStr">
        <is>
          <t>Head Man</t>
        </is>
      </c>
      <c r="E47" s="175" t="inlineStr">
        <is>
          <t>Day</t>
        </is>
      </c>
      <c r="F47" s="177" t="n">
        <v>18</v>
      </c>
      <c r="G47" s="178" t="n">
        <v>800</v>
      </c>
      <c r="H47" s="178" t="n">
        <v>800</v>
      </c>
      <c r="I47" s="179" t="n">
        <v>0</v>
      </c>
      <c r="J47" s="179" t="n">
        <v>0</v>
      </c>
      <c r="K47" s="30" t="inlineStr">
        <is>
          <t>AT SOR</t>
        </is>
      </c>
    </row>
    <row r="48" ht="22" customHeight="1">
      <c r="A48" s="174" t="n">
        <v>46</v>
      </c>
      <c r="B48" s="175" t="inlineStr">
        <is>
          <t>80-370</t>
        </is>
      </c>
      <c r="C48" s="175" t="inlineStr">
        <is>
          <t>BWDB</t>
        </is>
      </c>
      <c r="D48" s="176" t="inlineStr">
        <is>
          <t>Labour-Skilled</t>
        </is>
      </c>
      <c r="E48" s="175" t="inlineStr">
        <is>
          <t>Day</t>
        </is>
      </c>
      <c r="F48" s="177" t="n">
        <v>180</v>
      </c>
      <c r="G48" s="178" t="n">
        <v>600</v>
      </c>
      <c r="H48" s="178" t="n">
        <v>600</v>
      </c>
      <c r="I48" s="179" t="n">
        <v>0</v>
      </c>
      <c r="J48" s="179" t="n">
        <v>0</v>
      </c>
      <c r="K48" s="30" t="inlineStr">
        <is>
          <t>AT SOR</t>
        </is>
      </c>
    </row>
    <row r="49" ht="22" customHeight="1">
      <c r="A49" s="174" t="n">
        <v>47</v>
      </c>
      <c r="B49" s="175" t="inlineStr">
        <is>
          <t>80-375</t>
        </is>
      </c>
      <c r="C49" s="175" t="inlineStr">
        <is>
          <t>BWDB</t>
        </is>
      </c>
      <c r="D49" s="176" t="inlineStr">
        <is>
          <t>Labour-unskilled</t>
        </is>
      </c>
      <c r="E49" s="175" t="inlineStr">
        <is>
          <t>Day</t>
        </is>
      </c>
      <c r="F49" s="177" t="n">
        <v>180</v>
      </c>
      <c r="G49" s="178" t="n">
        <v>540</v>
      </c>
      <c r="H49" s="178" t="n">
        <v>540</v>
      </c>
      <c r="I49" s="179" t="n">
        <v>0</v>
      </c>
      <c r="J49" s="179" t="n">
        <v>0</v>
      </c>
      <c r="K49" s="30" t="inlineStr">
        <is>
          <t>AT SOR</t>
        </is>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3" customWidth="1" min="1" max="1"/>
    <col width="28" customWidth="1" min="2" max="2"/>
    <col width="22" customWidth="1" min="3" max="3"/>
    <col width="22" customWidth="1" min="4" max="4"/>
    <col width="14" customWidth="1" min="5" max="5"/>
    <col width="22" customWidth="1" min="6" max="6"/>
    <col width="12" customWidth="1" min="7" max="7"/>
  </cols>
  <sheetData>
    <row r="1" ht="24" customHeight="1">
      <c r="A1" s="187" t="inlineStr">
        <is>
          <t>FINANCIAL QUALIFICATION CHECKLIST — Hassan &amp; Brothers JV</t>
        </is>
      </c>
    </row>
    <row r="2">
      <c r="B2" s="188" t="inlineStr">
        <is>
          <t>Criterion</t>
        </is>
      </c>
      <c r="C2" s="188" t="inlineStr">
        <is>
          <t>Required</t>
        </is>
      </c>
      <c r="D2" s="188" t="inlineStr">
        <is>
          <t>Our Figure</t>
        </is>
      </c>
      <c r="E2" s="188" t="inlineStr">
        <is>
          <t>Remarks</t>
        </is>
      </c>
      <c r="F2" s="188" t="inlineStr">
        <is>
          <t>Status</t>
        </is>
      </c>
    </row>
    <row r="3" ht="22" customHeight="1">
      <c r="B3" s="189" t="inlineStr">
        <is>
          <t>Avg Annual Construction Turnover</t>
        </is>
      </c>
      <c r="C3" s="189" t="inlineStr">
        <is>
          <t>Tk. 2,420 Lakh</t>
        </is>
      </c>
      <c r="D3" s="189" t="inlineStr">
        <is>
          <t>See audit/turnover cert.</t>
        </is>
      </c>
      <c r="E3" s="190" t="inlineStr">
        <is>
          <t>AACT ≥ 2420 Lakh over 5 yrs</t>
        </is>
      </c>
      <c r="F3" s="191" t="inlineStr">
        <is>
          <t>⚠ Verify</t>
        </is>
      </c>
    </row>
    <row r="4" ht="22" customHeight="1">
      <c r="B4" s="192" t="inlineStr">
        <is>
          <t>Min Financial Resource (Line of Credit)</t>
        </is>
      </c>
      <c r="C4" s="192" t="inlineStr">
        <is>
          <t>Tk. 850 Lakh</t>
        </is>
      </c>
      <c r="D4" s="192" t="inlineStr">
        <is>
          <t>NCC Bank — Tk. 850 Lakh LoC</t>
        </is>
      </c>
      <c r="E4" s="193" t="inlineStr">
        <is>
          <t>Form e-PW3-8 submitted</t>
        </is>
      </c>
      <c r="F4" s="194" t="inlineStr">
        <is>
          <t>✅ OK</t>
        </is>
      </c>
    </row>
    <row r="5" ht="22" customHeight="1">
      <c r="B5" s="189" t="inlineStr">
        <is>
          <t>Tender Capacity (A×N×1.25 - B)</t>
        </is>
      </c>
      <c r="C5" s="189" t="inlineStr">
        <is>
          <t>Tk. 1,820 Lakh</t>
        </is>
      </c>
      <c r="D5" s="189" t="inlineStr">
        <is>
          <t>Calculate from max annual work</t>
        </is>
      </c>
      <c r="E5" s="190" t="inlineStr">
        <is>
          <t>N = completion years</t>
        </is>
      </c>
      <c r="F5" s="191" t="inlineStr">
        <is>
          <t>⚠ Verify</t>
        </is>
      </c>
    </row>
    <row r="6" ht="22" customHeight="1">
      <c r="B6" s="192" t="inlineStr">
        <is>
          <t>Tender Security</t>
        </is>
      </c>
      <c r="C6" s="192" t="inlineStr">
        <is>
          <t>Tk. 61 Lakh (BG)</t>
        </is>
      </c>
      <c r="D6" s="192" t="inlineStr">
        <is>
          <t>BG from NCC Bank</t>
        </is>
      </c>
      <c r="E6" s="193" t="inlineStr">
        <is>
          <t>Form e-PW3-7</t>
        </is>
      </c>
      <c r="F6" s="194" t="inlineStr">
        <is>
          <t>✅ OK</t>
        </is>
      </c>
    </row>
    <row r="7" ht="22" customHeight="1">
      <c r="B7" s="189" t="inlineStr">
        <is>
          <t>Experience (Specific)</t>
        </is>
      </c>
      <c r="C7" s="189" t="inlineStr">
        <is>
          <t>1 contract ≥ Tk. 1,210 Lakh</t>
        </is>
      </c>
      <c r="D7" s="189" t="inlineStr">
        <is>
          <t>River bank protection work</t>
        </is>
      </c>
      <c r="E7" s="190" t="inlineStr">
        <is>
          <t>Must submit completion cert.</t>
        </is>
      </c>
      <c r="F7" s="191" t="inlineStr">
        <is>
          <t>⚠ Verify</t>
        </is>
      </c>
    </row>
    <row r="8" ht="22" customHeight="1">
      <c r="B8" s="192" t="inlineStr">
        <is>
          <t>JV Agreement</t>
        </is>
      </c>
      <c r="C8" s="192" t="inlineStr">
        <is>
          <t>e-PW3-B, Tk. 300 stamp</t>
        </is>
      </c>
      <c r="D8" s="192" t="inlineStr">
        <is>
          <t>HB-SRT JV deed submitted</t>
        </is>
      </c>
      <c r="E8" s="193" t="inlineStr">
        <is>
          <t>Non-judicial stamp verified</t>
        </is>
      </c>
      <c r="F8" s="194" t="inlineStr">
        <is>
          <t>✅ OK</t>
        </is>
      </c>
    </row>
    <row r="9" ht="22" customHeight="1">
      <c r="B9" s="192" t="inlineStr">
        <is>
          <t>Tax Documents</t>
        </is>
      </c>
      <c r="C9" s="192" t="inlineStr">
        <is>
          <t>TIN + IT Return 2024-25 + VAT</t>
        </is>
      </c>
      <c r="D9" s="192" t="inlineStr">
        <is>
          <t>All submitted</t>
        </is>
      </c>
      <c r="E9" s="193" t="inlineStr">
        <is>
          <t>Income tax year: 2024-25</t>
        </is>
      </c>
      <c r="F9" s="194" t="inlineStr">
        <is>
          <t>✅ OK</t>
        </is>
      </c>
    </row>
    <row r="10" ht="22" customHeight="1">
      <c r="B10" s="189" t="inlineStr">
        <is>
          <t>Ongoing Works Declaration</t>
        </is>
      </c>
      <c r="C10" s="189" t="inlineStr">
        <is>
          <t>Signed list required</t>
        </is>
      </c>
      <c r="D10" s="189" t="inlineStr">
        <is>
          <t>Must declare all ongoing works</t>
        </is>
      </c>
      <c r="E10" s="190" t="inlineStr">
        <is>
          <t>JV % share on each cert.</t>
        </is>
      </c>
      <c r="F10" s="191" t="inlineStr">
        <is>
          <t>⚠ Verify</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2026-05-24T22:47:32Z</dcterms:created>
  <dcterms:modified xmlns:dcterms="http://purl.org/dc/terms/" xmlns:xsi="http://www.w3.org/2001/XMLSchema-instance" xsi:type="dcterms:W3CDTF">2026-05-24T22:47:32Z</dcterms:modified>
</cp:coreProperties>
</file>